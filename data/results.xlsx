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M:\pycharm_projects\network_simulations\thesis\throughput_upperbound\simulations\data\"/>
    </mc:Choice>
  </mc:AlternateContent>
  <xr:revisionPtr revIDLastSave="0" documentId="13_ncr:1_{26709424-1105-4BFA-92D8-83CD9A26B3F0}" xr6:coauthVersionLast="47" xr6:coauthVersionMax="47" xr10:uidLastSave="{00000000-0000-0000-0000-000000000000}"/>
  <bookViews>
    <workbookView xWindow="19090" yWindow="-110" windowWidth="19420" windowHeight="11500" activeTab="3" xr2:uid="{721E2542-CFD3-F545-91FB-44EA0C7E0544}"/>
  </bookViews>
  <sheets>
    <sheet name="throughtput" sheetId="2" r:id="rId1"/>
    <sheet name="capacity gain" sheetId="3" r:id="rId2"/>
    <sheet name="wavelength_utilization" sheetId="4" r:id="rId3"/>
    <sheet name="normalized(bpsTHz)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5" l="1"/>
  <c r="E30" i="5"/>
  <c r="E31" i="5"/>
  <c r="E32" i="5"/>
  <c r="E33" i="5"/>
  <c r="E34" i="5"/>
  <c r="E35" i="5"/>
  <c r="E36" i="5"/>
  <c r="E37" i="5"/>
  <c r="E28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7" i="5"/>
  <c r="E4" i="5"/>
  <c r="E3" i="5"/>
  <c r="E5" i="5"/>
  <c r="E6" i="5"/>
  <c r="E2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</calcChain>
</file>

<file path=xl/sharedStrings.xml><?xml version="1.0" encoding="utf-8"?>
<sst xmlns="http://schemas.openxmlformats.org/spreadsheetml/2006/main" count="800" uniqueCount="238">
  <si>
    <t>topology</t>
  </si>
  <si>
    <t>CL</t>
    <phoneticPr fontId="1" type="noConversion"/>
  </si>
  <si>
    <t>SCL</t>
    <phoneticPr fontId="1" type="noConversion"/>
  </si>
  <si>
    <t>ESCL</t>
    <phoneticPr fontId="1" type="noConversion"/>
  </si>
  <si>
    <t>DTAG</t>
  </si>
  <si>
    <t>kSP-FF</t>
  </si>
  <si>
    <t>NSFNET</t>
  </si>
  <si>
    <t>RegularDCI</t>
  </si>
  <si>
    <t>scale</t>
  </si>
  <si>
    <t>OESCL</t>
    <phoneticPr fontId="1" type="noConversion"/>
  </si>
  <si>
    <t>382.34912554405014</t>
  </si>
  <si>
    <t>372.02342364925295</t>
  </si>
  <si>
    <t>354.83885939948686</t>
  </si>
  <si>
    <t>347.5092263853363</t>
  </si>
  <si>
    <t>C</t>
  </si>
  <si>
    <t>1042.8695284128924</t>
  </si>
  <si>
    <t>759.3801904518725</t>
  </si>
  <si>
    <t>459.23263871463445</t>
  </si>
  <si>
    <t>202.72229116770973</t>
  </si>
  <si>
    <t>362.23516804951043</t>
  </si>
  <si>
    <t>327.3157360954746</t>
  </si>
  <si>
    <t>302.8784989071464</t>
  </si>
  <si>
    <t>284.10749151523845</t>
  </si>
  <si>
    <t>268.9045920244814</t>
  </si>
  <si>
    <t>804.8687365042929</t>
  </si>
  <si>
    <t>728.0392463768852</t>
  </si>
  <si>
    <t>631.5815203571887</t>
  </si>
  <si>
    <t>597.3758800978744</t>
  </si>
  <si>
    <t>1281.556835915503</t>
  </si>
  <si>
    <t>1148.7100372452744</t>
  </si>
  <si>
    <t>1056.8356378815238</t>
  </si>
  <si>
    <t>1745.1507432343576</t>
  </si>
  <si>
    <t>1553.8564556427393</t>
  </si>
  <si>
    <t>1423.1953190737242</t>
  </si>
  <si>
    <t>1324.3738983920534</t>
  </si>
  <si>
    <t>1245.3048540189093</t>
  </si>
  <si>
    <t>2431.3842814799536</t>
  </si>
  <si>
    <t>2115.184765223804</t>
  </si>
  <si>
    <t>1911.710442773642</t>
  </si>
  <si>
    <t>1762.710294223332</t>
  </si>
  <si>
    <t>1646.0323741688537</t>
  </si>
  <si>
    <t>1304.9507944079542</t>
  </si>
  <si>
    <t>1264.566138840693</t>
  </si>
  <si>
    <t>1229.731792019321</t>
  </si>
  <si>
    <t>1199.023047687031</t>
  </si>
  <si>
    <t>1171.5242127603356</t>
  </si>
  <si>
    <t>2588.980349127486</t>
  </si>
  <si>
    <t>2462.9089756311264</t>
  </si>
  <si>
    <t>2365.0787636116816</t>
  </si>
  <si>
    <t>2284.067652906382</t>
  </si>
  <si>
    <t>2214.5648202360144</t>
  </si>
  <si>
    <t>798.8750198546984</t>
  </si>
  <si>
    <t>777.4652647815791</t>
  </si>
  <si>
    <t>758.5530426007679</t>
  </si>
  <si>
    <t>741.5943597516389</t>
  </si>
  <si>
    <t>726.2115219596598</t>
  </si>
  <si>
    <t>LondonDCI</t>
  </si>
  <si>
    <t>BT22</t>
  </si>
  <si>
    <t>CL</t>
  </si>
  <si>
    <t>SCL</t>
  </si>
  <si>
    <t>ESCL</t>
  </si>
  <si>
    <t>OESCL</t>
  </si>
  <si>
    <t>KSP-FF</t>
  </si>
  <si>
    <t>RWA</t>
  </si>
  <si>
    <t>844.8705568662297</t>
  </si>
  <si>
    <t>825.2340162886196</t>
  </si>
  <si>
    <t>807.5646329961356</t>
  </si>
  <si>
    <t>791.4714161909801</t>
  </si>
  <si>
    <t>776.6789531750832</t>
  </si>
  <si>
    <t>380.65924712737876</t>
  </si>
  <si>
    <t>372.0021158960573</t>
  </si>
  <si>
    <t>364.2059532058853</t>
  </si>
  <si>
    <t>357.1039549180098</t>
  </si>
  <si>
    <t>350.57689406757333</t>
  </si>
  <si>
    <t>1376.6118189505767</t>
  </si>
  <si>
    <t>1340.0644158775688</t>
  </si>
  <si>
    <t>1307.6561843294758</t>
  </si>
  <si>
    <t>1278.484161973787</t>
  </si>
  <si>
    <t>1251.928292628225</t>
  </si>
  <si>
    <t>1882.2642488720708</t>
  </si>
  <si>
    <t>1828.3036658017324</t>
  </si>
  <si>
    <t>1780.665810003591</t>
  </si>
  <si>
    <t>1737.9519357942545</t>
  </si>
  <si>
    <t>1699.2035409701768</t>
  </si>
  <si>
    <t>2783.0519660468076</t>
  </si>
  <si>
    <t>2649.621414589029</t>
  </si>
  <si>
    <t>2545.1493159000424</t>
  </si>
  <si>
    <t>2458.189048086549</t>
  </si>
  <si>
    <t>2383.2960502096007</t>
  </si>
  <si>
    <t>1390.2550575786097</t>
  </si>
  <si>
    <t>1354.9473105313014</t>
  </si>
  <si>
    <t>1323.6007300539213</t>
  </si>
  <si>
    <t>1295.3537670650264</t>
  </si>
  <si>
    <t>1269.6146528245167</t>
  </si>
  <si>
    <t>2815.1351704315675</t>
  </si>
  <si>
    <t>2690.9930400362073</t>
  </si>
  <si>
    <t>2593.0297075355975</t>
  </si>
  <si>
    <t>2510.9441486047126</t>
  </si>
  <si>
    <t>2439.8630165572004</t>
  </si>
  <si>
    <t>1892.7941214304612</t>
  </si>
  <si>
    <t>1840.282471286778</t>
  </si>
  <si>
    <t>1794.0186365530467</t>
  </si>
  <si>
    <t>1752.5856367446452</t>
  </si>
  <si>
    <t>1715.024461412563</t>
  </si>
  <si>
    <t>829.1527547545071</t>
  </si>
  <si>
    <t>810.5264810638438</t>
  </si>
  <si>
    <t>793.7243035045968</t>
  </si>
  <si>
    <t>778.3975855848496</t>
  </si>
  <si>
    <t>764.2950834225832</t>
  </si>
  <si>
    <t>382.50504420645046</t>
  </si>
  <si>
    <t>373.56482770076883</t>
  </si>
  <si>
    <t>365.5641635047916</t>
  </si>
  <si>
    <t>358.3123207330978</t>
  </si>
  <si>
    <t>351.67468413269694</t>
  </si>
  <si>
    <t>FF-KSP</t>
  </si>
  <si>
    <t>418.5520617401566</t>
  </si>
  <si>
    <t>396.68750301039944</t>
  </si>
  <si>
    <t>387.5621923950242</t>
  </si>
  <si>
    <t>379.31578312176765</t>
  </si>
  <si>
    <t>903.1620030340802</t>
  </si>
  <si>
    <t>861.2657365538173</t>
  </si>
  <si>
    <t>843.2854071503465</t>
  </si>
  <si>
    <t>1861.660379677708</t>
  </si>
  <si>
    <t>1796.3305074407642</t>
  </si>
  <si>
    <t>1740.385994515336</t>
  </si>
  <si>
    <t>1691.356018579632</t>
  </si>
  <si>
    <t>1647.6690619803455</t>
  </si>
  <si>
    <t>2613.221742203794</t>
  </si>
  <si>
    <t>2481.4027123685305</t>
  </si>
  <si>
    <t>2377.875521431131</t>
  </si>
  <si>
    <t>2291.7028320079994</t>
  </si>
  <si>
    <t>2217.5866346510043</t>
  </si>
  <si>
    <t>1395.996508996316</t>
  </si>
  <si>
    <t>1355.5437027983814</t>
  </si>
  <si>
    <t>1319.9414628724012</t>
  </si>
  <si>
    <t>1288.1026460564785</t>
  </si>
  <si>
    <t>343.3787417275663</t>
  </si>
  <si>
    <t>309.9991718231708</t>
  </si>
  <si>
    <t>286.53911098252536</t>
  </si>
  <si>
    <t>268.4894291261339</t>
  </si>
  <si>
    <t>253.8630787525721</t>
  </si>
  <si>
    <t>770.2465043825191</t>
  </si>
  <si>
    <t>642.8124596673571</t>
  </si>
  <si>
    <t>601.9356617723802</t>
  </si>
  <si>
    <t>568.7039906486006</t>
  </si>
  <si>
    <t>1695.904729498366</t>
  </si>
  <si>
    <t>1502.752810836963</t>
  </si>
  <si>
    <t>1371.4241583503447</t>
  </si>
  <si>
    <t>1272.5025192574371</t>
  </si>
  <si>
    <t>1193.6393871859943</t>
  </si>
  <si>
    <t>2364.0460444259415</t>
  </si>
  <si>
    <t>2033.7356946382156</t>
  </si>
  <si>
    <t>1825.1398606547173</t>
  </si>
  <si>
    <t>1674.1668079468245</t>
  </si>
  <si>
    <t>1556.9519902145755</t>
  </si>
  <si>
    <t>1248.516561414494</t>
  </si>
  <si>
    <t>1116.8050344478916</t>
  </si>
  <si>
    <t>1025.8001140630497</t>
  </si>
  <si>
    <t>956.4771193650532</t>
  </si>
  <si>
    <t>900.7245883330869</t>
  </si>
  <si>
    <t>444.60178940754133</t>
  </si>
  <si>
    <t>997.5429593517699</t>
  </si>
  <si>
    <t>1416.3971268267182</t>
  </si>
  <si>
    <t>739.0750893376774</t>
  </si>
  <si>
    <t>Maximum</t>
  </si>
  <si>
    <t>Minimum</t>
  </si>
  <si>
    <t>band</t>
  </si>
  <si>
    <t>Average</t>
  </si>
  <si>
    <t>FF-kSP</t>
  </si>
  <si>
    <t>Throughput</t>
  </si>
  <si>
    <t>occupied_bandwidth</t>
  </si>
  <si>
    <t>Band-normalized throughput</t>
  </si>
  <si>
    <t>normalized capacity per Hz</t>
  </si>
  <si>
    <t>network-wide throughput density over available payload bandwidth</t>
  </si>
  <si>
    <t>Metric</t>
  </si>
  <si>
    <t>|N|</t>
  </si>
  <si>
    <t>|E|</t>
  </si>
  <si>
    <t xml:space="preserve">ω </t>
  </si>
  <si>
    <t>h̄</t>
  </si>
  <si>
    <t>λ₁</t>
  </si>
  <si>
    <t>Band</t>
  </si>
  <si>
    <t>Wavelength range (nm)</t>
  </si>
  <si>
    <t>Transceiver SNR (dB)</t>
  </si>
  <si>
    <t>Noise figure (dB)</t>
  </si>
  <si>
    <t>Launch power (dBm/channel)</t>
  </si>
  <si>
    <t>O</t>
  </si>
  <si>
    <t>1260–1358</t>
  </si>
  <si>
    <t>E</t>
  </si>
  <si>
    <t>1405–1464</t>
  </si>
  <si>
    <t>S</t>
  </si>
  <si>
    <t>1470–1526</t>
  </si>
  <si>
    <t>1530–1566</t>
  </si>
  <si>
    <t>L</t>
  </si>
  <si>
    <t>1573–1625</t>
  </si>
  <si>
    <t>1754.396596036418</t>
  </si>
  <si>
    <t>1695.8339493076192</t>
  </si>
  <si>
    <t>1645.7157168706137</t>
  </si>
  <si>
    <t>1601.7966444177498</t>
  </si>
  <si>
    <t>1562.6567906283378</t>
  </si>
  <si>
    <t>1696.7648981599305</t>
  </si>
  <si>
    <t>1618.1841259688856</t>
  </si>
  <si>
    <t>1557.051986712146</t>
  </si>
  <si>
    <t>1506.2779434752256</t>
  </si>
  <si>
    <t>1462.6015742405584</t>
  </si>
  <si>
    <t>1129.9165367992748</t>
  </si>
  <si>
    <t>1097.0515661942725</t>
  </si>
  <si>
    <t>1068.3612001417382</t>
  </si>
  <si>
    <t>1019.9184454603266</t>
  </si>
  <si>
    <t>818.0766072043097</t>
  </si>
  <si>
    <t>796.0336294023067</t>
  </si>
  <si>
    <t>776.6719417415064</t>
  </si>
  <si>
    <t>491.5978586813526</t>
  </si>
  <si>
    <t>479.61441241707917</t>
  </si>
  <si>
    <t>468.90901120567327</t>
  </si>
  <si>
    <t>450.40380286381145</t>
  </si>
  <si>
    <t>217.82926376850415</t>
  </si>
  <si>
    <t>212.1892801037959</t>
  </si>
  <si>
    <t>207.19799062052826</t>
  </si>
  <si>
    <t>198.66629813987856</t>
  </si>
  <si>
    <t>478.2322054549946</t>
  </si>
  <si>
    <t>465.71805198401324</t>
  </si>
  <si>
    <t>454.60288562691443</t>
  </si>
  <si>
    <t>435.51039781896935</t>
  </si>
  <si>
    <t>211.75110186963371</t>
  </si>
  <si>
    <t>205.99156934644074</t>
  </si>
  <si>
    <t>200.9084200727762</t>
  </si>
  <si>
    <t>192.2465924626774</t>
  </si>
  <si>
    <t>800.4273654919941</t>
  </si>
  <si>
    <t>777.2406862515742</t>
  </si>
  <si>
    <t>757.0257453046432</t>
  </si>
  <si>
    <t>722.9167298922735</t>
  </si>
  <si>
    <t>1088.618137479254</t>
  </si>
  <si>
    <t>1053.9694661035244</t>
  </si>
  <si>
    <t>1023.9943199470544</t>
  </si>
  <si>
    <t>973.8564178596321</t>
  </si>
  <si>
    <t>1613.5878542320756</t>
  </si>
  <si>
    <t>1468.680026597252</t>
  </si>
  <si>
    <t>1371.612622975158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</si>
</sst>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0" fillId="0" borderId="0" xfId="0" quotePrefix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0614F-7F9D-4042-A7FC-AB8715563534}">
  <dimension ref="A1:Y44"/>
  <sheetViews>
    <sheetView workbookViewId="0">
      <selection activeCell="L26" sqref="L26"/>
    </sheetView>
  </sheetViews>
  <sheetFormatPr defaultRowHeight="15" x14ac:dyDescent="0.25"/>
  <cols>
    <col min="6" max="6" width="17.25" customWidth="1"/>
  </cols>
  <sheetData>
    <row r="1" spans="1:22" x14ac:dyDescent="0.25">
      <c r="A1" s="1" t="s">
        <v>0</v>
      </c>
      <c r="B1" t="s">
        <v>8</v>
      </c>
      <c r="C1" t="s">
        <v>63</v>
      </c>
      <c r="D1" t="s">
        <v>14</v>
      </c>
      <c r="E1" t="s">
        <v>1</v>
      </c>
      <c r="F1" t="s">
        <v>2</v>
      </c>
      <c r="G1" t="s">
        <v>3</v>
      </c>
      <c r="H1" t="s">
        <v>9</v>
      </c>
    </row>
    <row r="2" spans="1:22" x14ac:dyDescent="0.25">
      <c r="A2" s="1" t="s">
        <v>4</v>
      </c>
      <c r="B2">
        <v>0.2</v>
      </c>
      <c r="C2" t="s">
        <v>62</v>
      </c>
      <c r="D2" s="2" t="s">
        <v>10</v>
      </c>
      <c r="E2" s="2" t="s">
        <v>51</v>
      </c>
      <c r="F2" s="2" t="s">
        <v>41</v>
      </c>
      <c r="G2" s="2" t="s">
        <v>194</v>
      </c>
      <c r="H2" s="2" t="s">
        <v>46</v>
      </c>
    </row>
    <row r="3" spans="1:22" x14ac:dyDescent="0.25">
      <c r="A3" s="1" t="s">
        <v>4</v>
      </c>
      <c r="B3">
        <v>0.4</v>
      </c>
      <c r="C3" t="s">
        <v>62</v>
      </c>
      <c r="D3" s="2" t="s">
        <v>11</v>
      </c>
      <c r="E3" s="2" t="s">
        <v>52</v>
      </c>
      <c r="F3" s="2" t="s">
        <v>42</v>
      </c>
      <c r="G3" s="2" t="s">
        <v>195</v>
      </c>
      <c r="H3" s="2" t="s">
        <v>47</v>
      </c>
    </row>
    <row r="4" spans="1:22" x14ac:dyDescent="0.25">
      <c r="A4" s="1" t="s">
        <v>4</v>
      </c>
      <c r="B4">
        <v>0.6</v>
      </c>
      <c r="C4" t="s">
        <v>62</v>
      </c>
      <c r="D4" s="1">
        <v>362.946214722815</v>
      </c>
      <c r="E4" s="2" t="s">
        <v>53</v>
      </c>
      <c r="F4" s="2" t="s">
        <v>43</v>
      </c>
      <c r="G4" s="2" t="s">
        <v>196</v>
      </c>
      <c r="H4" s="2" t="s">
        <v>48</v>
      </c>
    </row>
    <row r="5" spans="1:22" x14ac:dyDescent="0.25">
      <c r="A5" s="1" t="s">
        <v>4</v>
      </c>
      <c r="B5">
        <v>0.8</v>
      </c>
      <c r="C5" t="s">
        <v>62</v>
      </c>
      <c r="D5" s="2" t="s">
        <v>12</v>
      </c>
      <c r="E5" s="2" t="s">
        <v>54</v>
      </c>
      <c r="F5" s="2" t="s">
        <v>44</v>
      </c>
      <c r="G5" s="2" t="s">
        <v>197</v>
      </c>
      <c r="H5" s="2" t="s">
        <v>49</v>
      </c>
      <c r="V5" s="2"/>
    </row>
    <row r="6" spans="1:22" x14ac:dyDescent="0.25">
      <c r="A6" s="1" t="s">
        <v>4</v>
      </c>
      <c r="B6">
        <v>1</v>
      </c>
      <c r="C6" t="s">
        <v>62</v>
      </c>
      <c r="D6" s="2" t="s">
        <v>13</v>
      </c>
      <c r="E6" s="2" t="s">
        <v>55</v>
      </c>
      <c r="F6" s="2" t="s">
        <v>45</v>
      </c>
      <c r="G6" s="2" t="s">
        <v>198</v>
      </c>
      <c r="H6" s="2" t="s">
        <v>50</v>
      </c>
      <c r="V6" s="2"/>
    </row>
    <row r="7" spans="1:22" x14ac:dyDescent="0.25">
      <c r="A7" s="1" t="s">
        <v>7</v>
      </c>
      <c r="B7">
        <v>0.2</v>
      </c>
      <c r="C7" t="s">
        <v>62</v>
      </c>
      <c r="D7" s="2" t="s">
        <v>215</v>
      </c>
      <c r="E7" s="2" t="s">
        <v>211</v>
      </c>
      <c r="F7" s="2" t="s">
        <v>208</v>
      </c>
      <c r="G7" s="2" t="s">
        <v>204</v>
      </c>
      <c r="H7" s="2" t="s">
        <v>199</v>
      </c>
      <c r="V7" s="2"/>
    </row>
    <row r="8" spans="1:22" x14ac:dyDescent="0.25">
      <c r="A8" s="1" t="s">
        <v>7</v>
      </c>
      <c r="B8">
        <v>0.4</v>
      </c>
      <c r="C8" t="s">
        <v>62</v>
      </c>
      <c r="D8" s="2" t="s">
        <v>216</v>
      </c>
      <c r="E8" s="2" t="s">
        <v>212</v>
      </c>
      <c r="F8" s="2" t="s">
        <v>209</v>
      </c>
      <c r="G8" s="2" t="s">
        <v>205</v>
      </c>
      <c r="H8" s="2" t="s">
        <v>200</v>
      </c>
      <c r="V8" s="2"/>
    </row>
    <row r="9" spans="1:22" x14ac:dyDescent="0.25">
      <c r="A9" s="1" t="s">
        <v>7</v>
      </c>
      <c r="B9">
        <v>0.6</v>
      </c>
      <c r="C9" t="s">
        <v>62</v>
      </c>
      <c r="D9" s="2" t="s">
        <v>217</v>
      </c>
      <c r="E9" s="2" t="s">
        <v>213</v>
      </c>
      <c r="F9" s="2" t="s">
        <v>210</v>
      </c>
      <c r="G9" s="2" t="s">
        <v>206</v>
      </c>
      <c r="H9" s="2" t="s">
        <v>201</v>
      </c>
      <c r="V9" s="2"/>
    </row>
    <row r="10" spans="1:22" x14ac:dyDescent="0.25">
      <c r="A10" s="1" t="s">
        <v>7</v>
      </c>
      <c r="B10">
        <v>0.8</v>
      </c>
      <c r="C10" t="s">
        <v>62</v>
      </c>
      <c r="D10" s="2" t="s">
        <v>18</v>
      </c>
      <c r="E10" s="2" t="s">
        <v>17</v>
      </c>
      <c r="F10" s="2" t="s">
        <v>16</v>
      </c>
      <c r="G10" s="2" t="s">
        <v>15</v>
      </c>
      <c r="H10" s="2" t="s">
        <v>202</v>
      </c>
      <c r="V10" s="2"/>
    </row>
    <row r="11" spans="1:22" x14ac:dyDescent="0.25">
      <c r="A11" s="1" t="s">
        <v>7</v>
      </c>
      <c r="B11">
        <v>1</v>
      </c>
      <c r="C11" t="s">
        <v>62</v>
      </c>
      <c r="D11" s="2" t="s">
        <v>218</v>
      </c>
      <c r="E11" s="2" t="s">
        <v>214</v>
      </c>
      <c r="F11" s="1">
        <v>743.74360572604303</v>
      </c>
      <c r="G11" s="2" t="s">
        <v>207</v>
      </c>
      <c r="H11" s="2" t="s">
        <v>203</v>
      </c>
      <c r="V11" s="2"/>
    </row>
    <row r="12" spans="1:22" x14ac:dyDescent="0.25">
      <c r="A12" t="s">
        <v>6</v>
      </c>
      <c r="B12">
        <v>0.2</v>
      </c>
      <c r="C12" t="s">
        <v>62</v>
      </c>
      <c r="D12" s="2" t="s">
        <v>19</v>
      </c>
      <c r="E12" s="2" t="s">
        <v>24</v>
      </c>
      <c r="F12" s="2" t="s">
        <v>28</v>
      </c>
      <c r="G12" s="2" t="s">
        <v>31</v>
      </c>
      <c r="H12" s="2" t="s">
        <v>36</v>
      </c>
      <c r="V12" s="2"/>
    </row>
    <row r="13" spans="1:22" x14ac:dyDescent="0.25">
      <c r="A13" t="s">
        <v>6</v>
      </c>
      <c r="B13">
        <v>0.4</v>
      </c>
      <c r="C13" t="s">
        <v>62</v>
      </c>
      <c r="D13" s="2" t="s">
        <v>20</v>
      </c>
      <c r="E13" s="2" t="s">
        <v>25</v>
      </c>
      <c r="F13" s="2" t="s">
        <v>29</v>
      </c>
      <c r="G13" s="2" t="s">
        <v>32</v>
      </c>
      <c r="H13" s="2" t="s">
        <v>37</v>
      </c>
      <c r="V13" s="2"/>
    </row>
    <row r="14" spans="1:22" x14ac:dyDescent="0.25">
      <c r="A14" t="s">
        <v>6</v>
      </c>
      <c r="B14">
        <v>0.6</v>
      </c>
      <c r="C14" t="s">
        <v>62</v>
      </c>
      <c r="D14" s="2" t="s">
        <v>21</v>
      </c>
      <c r="E14" s="1">
        <v>673.64219191606003</v>
      </c>
      <c r="F14" s="2" t="s">
        <v>30</v>
      </c>
      <c r="G14" s="2" t="s">
        <v>33</v>
      </c>
      <c r="H14" s="2" t="s">
        <v>38</v>
      </c>
      <c r="V14" s="2"/>
    </row>
    <row r="15" spans="1:22" x14ac:dyDescent="0.25">
      <c r="A15" t="s">
        <v>6</v>
      </c>
      <c r="B15">
        <v>0.8</v>
      </c>
      <c r="C15" t="s">
        <v>62</v>
      </c>
      <c r="D15" s="2" t="s">
        <v>22</v>
      </c>
      <c r="E15" s="2" t="s">
        <v>26</v>
      </c>
      <c r="F15" s="1">
        <v>986.761788910105</v>
      </c>
      <c r="G15" s="2" t="s">
        <v>34</v>
      </c>
      <c r="H15" s="2" t="s">
        <v>39</v>
      </c>
      <c r="V15" s="2"/>
    </row>
    <row r="16" spans="1:22" x14ac:dyDescent="0.25">
      <c r="A16" t="s">
        <v>6</v>
      </c>
      <c r="B16">
        <v>1</v>
      </c>
      <c r="C16" t="s">
        <v>62</v>
      </c>
      <c r="D16" s="2" t="s">
        <v>23</v>
      </c>
      <c r="E16" s="2" t="s">
        <v>27</v>
      </c>
      <c r="F16" s="1">
        <v>930.32692783878394</v>
      </c>
      <c r="G16" s="2" t="s">
        <v>35</v>
      </c>
      <c r="H16" s="2" t="s">
        <v>40</v>
      </c>
      <c r="R16" s="2"/>
      <c r="S16" s="2"/>
      <c r="T16" s="2"/>
      <c r="U16" s="2"/>
      <c r="V16" s="2"/>
    </row>
    <row r="17" spans="1:25" x14ac:dyDescent="0.25">
      <c r="A17" t="s">
        <v>57</v>
      </c>
      <c r="B17">
        <v>0.2</v>
      </c>
      <c r="C17" t="s">
        <v>62</v>
      </c>
      <c r="D17" s="2" t="s">
        <v>109</v>
      </c>
      <c r="E17" s="2" t="s">
        <v>104</v>
      </c>
      <c r="F17" s="2" t="s">
        <v>89</v>
      </c>
      <c r="G17" s="2" t="s">
        <v>99</v>
      </c>
      <c r="H17" s="2" t="s">
        <v>94</v>
      </c>
      <c r="R17" s="2"/>
      <c r="S17" s="1"/>
      <c r="T17" s="2"/>
      <c r="U17" s="2"/>
      <c r="V17" s="2"/>
    </row>
    <row r="18" spans="1:25" x14ac:dyDescent="0.25">
      <c r="A18" t="s">
        <v>57</v>
      </c>
      <c r="B18">
        <v>0.4</v>
      </c>
      <c r="C18" t="s">
        <v>62</v>
      </c>
      <c r="D18" s="2" t="s">
        <v>110</v>
      </c>
      <c r="E18" s="2" t="s">
        <v>105</v>
      </c>
      <c r="F18" s="2" t="s">
        <v>90</v>
      </c>
      <c r="G18" s="2" t="s">
        <v>100</v>
      </c>
      <c r="H18" s="2" t="s">
        <v>95</v>
      </c>
      <c r="R18" s="2"/>
      <c r="S18" s="2"/>
      <c r="T18" s="1"/>
      <c r="U18" s="2"/>
      <c r="V18" s="2"/>
    </row>
    <row r="19" spans="1:25" x14ac:dyDescent="0.25">
      <c r="A19" t="s">
        <v>57</v>
      </c>
      <c r="B19">
        <v>0.6</v>
      </c>
      <c r="C19" t="s">
        <v>62</v>
      </c>
      <c r="D19" s="2" t="s">
        <v>111</v>
      </c>
      <c r="E19" s="2" t="s">
        <v>106</v>
      </c>
      <c r="F19" s="2" t="s">
        <v>91</v>
      </c>
      <c r="G19" s="2" t="s">
        <v>101</v>
      </c>
      <c r="H19" s="2" t="s">
        <v>96</v>
      </c>
      <c r="R19" s="2"/>
      <c r="S19" s="2"/>
      <c r="T19" s="1"/>
      <c r="U19" s="2"/>
      <c r="V19" s="2"/>
    </row>
    <row r="20" spans="1:25" x14ac:dyDescent="0.25">
      <c r="A20" t="s">
        <v>57</v>
      </c>
      <c r="B20">
        <v>0.8</v>
      </c>
      <c r="C20" t="s">
        <v>62</v>
      </c>
      <c r="D20" s="2" t="s">
        <v>112</v>
      </c>
      <c r="E20" s="2" t="s">
        <v>107</v>
      </c>
      <c r="F20" s="2" t="s">
        <v>92</v>
      </c>
      <c r="G20" s="2" t="s">
        <v>102</v>
      </c>
      <c r="H20" s="2" t="s">
        <v>97</v>
      </c>
      <c r="R20" s="2"/>
      <c r="S20" s="2"/>
      <c r="T20" s="2"/>
      <c r="U20" s="2"/>
      <c r="V20" s="2"/>
    </row>
    <row r="21" spans="1:25" x14ac:dyDescent="0.25">
      <c r="A21" t="s">
        <v>57</v>
      </c>
      <c r="B21">
        <v>1</v>
      </c>
      <c r="C21" t="s">
        <v>62</v>
      </c>
      <c r="D21" s="2" t="s">
        <v>113</v>
      </c>
      <c r="E21" s="2" t="s">
        <v>108</v>
      </c>
      <c r="F21" s="2" t="s">
        <v>93</v>
      </c>
      <c r="G21" s="2" t="s">
        <v>103</v>
      </c>
      <c r="H21" s="2" t="s">
        <v>98</v>
      </c>
      <c r="R21" s="2"/>
      <c r="S21" s="2"/>
      <c r="T21" s="2"/>
      <c r="U21" s="2"/>
      <c r="V21" s="2"/>
    </row>
    <row r="22" spans="1:25" x14ac:dyDescent="0.25">
      <c r="A22" t="s">
        <v>56</v>
      </c>
      <c r="B22">
        <v>1</v>
      </c>
      <c r="C22" t="s">
        <v>62</v>
      </c>
      <c r="D22">
        <v>432.41559999999998</v>
      </c>
      <c r="E22">
        <v>949.4769</v>
      </c>
      <c r="F22">
        <v>1576.2992999999999</v>
      </c>
      <c r="G22">
        <v>2192.8779</v>
      </c>
      <c r="H22">
        <v>3317.6731</v>
      </c>
      <c r="R22" s="2"/>
      <c r="S22" s="2"/>
      <c r="T22" s="2"/>
      <c r="U22" s="2"/>
      <c r="V22" s="2"/>
    </row>
    <row r="23" spans="1:25" x14ac:dyDescent="0.25">
      <c r="R23" s="2"/>
      <c r="S23" s="2"/>
      <c r="T23" s="2"/>
      <c r="U23" s="2"/>
      <c r="V23" s="2"/>
    </row>
    <row r="24" spans="1:25" x14ac:dyDescent="0.25">
      <c r="A24" s="1" t="s">
        <v>4</v>
      </c>
      <c r="B24">
        <v>0.2</v>
      </c>
      <c r="C24" t="s">
        <v>114</v>
      </c>
      <c r="D24" s="2" t="s">
        <v>115</v>
      </c>
      <c r="E24" s="1">
        <v>928.15408074553397</v>
      </c>
      <c r="F24" s="1">
        <v>1443.00442429391</v>
      </c>
      <c r="G24" s="2" t="s">
        <v>122</v>
      </c>
      <c r="H24" s="2" t="s">
        <v>127</v>
      </c>
      <c r="R24" s="2"/>
      <c r="S24" s="2"/>
      <c r="T24" s="2"/>
      <c r="U24" s="2"/>
      <c r="V24" s="2"/>
      <c r="Y24">
        <v>3090.5210999999999</v>
      </c>
    </row>
    <row r="25" spans="1:25" x14ac:dyDescent="0.25">
      <c r="A25" s="1" t="s">
        <v>4</v>
      </c>
      <c r="B25">
        <v>0.4</v>
      </c>
      <c r="C25" t="s">
        <v>114</v>
      </c>
      <c r="D25" s="1">
        <v>406.91094396588102</v>
      </c>
      <c r="E25" s="2" t="s">
        <v>119</v>
      </c>
      <c r="F25" s="2" t="s">
        <v>132</v>
      </c>
      <c r="G25" s="2" t="s">
        <v>123</v>
      </c>
      <c r="H25" s="2" t="s">
        <v>128</v>
      </c>
    </row>
    <row r="26" spans="1:25" x14ac:dyDescent="0.25">
      <c r="A26" s="1" t="s">
        <v>4</v>
      </c>
      <c r="B26">
        <v>0.6</v>
      </c>
      <c r="C26" t="s">
        <v>114</v>
      </c>
      <c r="D26" s="2" t="s">
        <v>116</v>
      </c>
      <c r="E26" s="1">
        <v>881.07790633942102</v>
      </c>
      <c r="F26" s="2" t="s">
        <v>133</v>
      </c>
      <c r="G26" s="2" t="s">
        <v>124</v>
      </c>
      <c r="H26" s="2" t="s">
        <v>129</v>
      </c>
    </row>
    <row r="27" spans="1:25" x14ac:dyDescent="0.25">
      <c r="A27" s="1" t="s">
        <v>4</v>
      </c>
      <c r="B27">
        <v>0.8</v>
      </c>
      <c r="C27" t="s">
        <v>114</v>
      </c>
      <c r="D27" s="2" t="s">
        <v>117</v>
      </c>
      <c r="E27" s="2" t="s">
        <v>120</v>
      </c>
      <c r="F27" s="2" t="s">
        <v>134</v>
      </c>
      <c r="G27" s="2" t="s">
        <v>125</v>
      </c>
      <c r="H27" s="2" t="s">
        <v>130</v>
      </c>
    </row>
    <row r="28" spans="1:25" x14ac:dyDescent="0.25">
      <c r="A28" s="1" t="s">
        <v>4</v>
      </c>
      <c r="B28">
        <v>1</v>
      </c>
      <c r="C28" t="s">
        <v>114</v>
      </c>
      <c r="D28" s="2" t="s">
        <v>118</v>
      </c>
      <c r="E28" s="2" t="s">
        <v>121</v>
      </c>
      <c r="F28" s="2" t="s">
        <v>135</v>
      </c>
      <c r="G28" s="2" t="s">
        <v>126</v>
      </c>
      <c r="H28" s="2" t="s">
        <v>131</v>
      </c>
    </row>
    <row r="29" spans="1:25" x14ac:dyDescent="0.25">
      <c r="A29" s="1" t="s">
        <v>7</v>
      </c>
      <c r="B29">
        <v>0.2</v>
      </c>
      <c r="C29" t="s">
        <v>114</v>
      </c>
      <c r="D29" s="2" t="s">
        <v>223</v>
      </c>
      <c r="E29" s="2" t="s">
        <v>219</v>
      </c>
      <c r="F29" s="2" t="s">
        <v>227</v>
      </c>
      <c r="G29" s="2" t="s">
        <v>231</v>
      </c>
      <c r="H29" s="2" t="s">
        <v>235</v>
      </c>
    </row>
    <row r="30" spans="1:25" x14ac:dyDescent="0.25">
      <c r="A30" s="1" t="s">
        <v>7</v>
      </c>
      <c r="B30">
        <v>0.4</v>
      </c>
      <c r="C30" t="s">
        <v>114</v>
      </c>
      <c r="D30" s="2" t="s">
        <v>224</v>
      </c>
      <c r="E30" s="2" t="s">
        <v>220</v>
      </c>
      <c r="F30" s="2" t="s">
        <v>228</v>
      </c>
      <c r="G30" s="2" t="s">
        <v>232</v>
      </c>
      <c r="H30" s="1">
        <v>1531.9224017460399</v>
      </c>
    </row>
    <row r="31" spans="1:25" x14ac:dyDescent="0.25">
      <c r="A31" s="1" t="s">
        <v>7</v>
      </c>
      <c r="B31">
        <v>0.6</v>
      </c>
      <c r="C31" t="s">
        <v>114</v>
      </c>
      <c r="D31" s="2" t="s">
        <v>225</v>
      </c>
      <c r="E31" s="2" t="s">
        <v>221</v>
      </c>
      <c r="F31" s="2" t="s">
        <v>229</v>
      </c>
      <c r="G31" s="2" t="s">
        <v>233</v>
      </c>
      <c r="H31" s="2" t="s">
        <v>236</v>
      </c>
    </row>
    <row r="32" spans="1:25" x14ac:dyDescent="0.25">
      <c r="A32" s="1" t="s">
        <v>7</v>
      </c>
      <c r="B32">
        <v>0.8</v>
      </c>
      <c r="C32" t="s">
        <v>114</v>
      </c>
      <c r="D32" s="1">
        <v>196.36046184629399</v>
      </c>
      <c r="E32" s="2" t="s">
        <v>160</v>
      </c>
      <c r="F32" s="2" t="s">
        <v>163</v>
      </c>
      <c r="G32" s="2" t="s">
        <v>161</v>
      </c>
      <c r="H32" s="2" t="s">
        <v>162</v>
      </c>
    </row>
    <row r="33" spans="1:8" x14ac:dyDescent="0.25">
      <c r="A33" s="1" t="s">
        <v>7</v>
      </c>
      <c r="B33">
        <v>1</v>
      </c>
      <c r="C33" t="s">
        <v>114</v>
      </c>
      <c r="D33" s="2" t="s">
        <v>226</v>
      </c>
      <c r="E33" s="2" t="s">
        <v>222</v>
      </c>
      <c r="F33" s="2" t="s">
        <v>230</v>
      </c>
      <c r="G33" s="2" t="s">
        <v>234</v>
      </c>
      <c r="H33" s="2" t="s">
        <v>237</v>
      </c>
    </row>
    <row r="34" spans="1:8" x14ac:dyDescent="0.25">
      <c r="A34" t="s">
        <v>6</v>
      </c>
      <c r="B34">
        <v>0.2</v>
      </c>
      <c r="C34" t="s">
        <v>114</v>
      </c>
      <c r="D34" s="2" t="s">
        <v>136</v>
      </c>
      <c r="E34" s="2" t="s">
        <v>141</v>
      </c>
      <c r="F34" s="2" t="s">
        <v>155</v>
      </c>
      <c r="G34" s="2" t="s">
        <v>145</v>
      </c>
      <c r="H34" s="2" t="s">
        <v>150</v>
      </c>
    </row>
    <row r="35" spans="1:8" x14ac:dyDescent="0.25">
      <c r="A35" t="s">
        <v>6</v>
      </c>
      <c r="B35">
        <v>0.4</v>
      </c>
      <c r="C35" t="s">
        <v>114</v>
      </c>
      <c r="D35" s="2" t="s">
        <v>137</v>
      </c>
      <c r="E35" s="1">
        <v>695.67117674808503</v>
      </c>
      <c r="F35" s="2" t="s">
        <v>156</v>
      </c>
      <c r="G35" s="2" t="s">
        <v>146</v>
      </c>
      <c r="H35" s="2" t="s">
        <v>151</v>
      </c>
    </row>
    <row r="36" spans="1:8" x14ac:dyDescent="0.25">
      <c r="A36" t="s">
        <v>6</v>
      </c>
      <c r="B36">
        <v>0.6</v>
      </c>
      <c r="C36" t="s">
        <v>114</v>
      </c>
      <c r="D36" s="2" t="s">
        <v>138</v>
      </c>
      <c r="E36" s="2" t="s">
        <v>142</v>
      </c>
      <c r="F36" s="2" t="s">
        <v>157</v>
      </c>
      <c r="G36" s="2" t="s">
        <v>147</v>
      </c>
      <c r="H36" s="2" t="s">
        <v>152</v>
      </c>
    </row>
    <row r="37" spans="1:8" x14ac:dyDescent="0.25">
      <c r="A37" t="s">
        <v>6</v>
      </c>
      <c r="B37">
        <v>0.8</v>
      </c>
      <c r="C37" t="s">
        <v>114</v>
      </c>
      <c r="D37" s="2" t="s">
        <v>139</v>
      </c>
      <c r="E37" s="2" t="s">
        <v>143</v>
      </c>
      <c r="F37" s="2" t="s">
        <v>158</v>
      </c>
      <c r="G37" s="2" t="s">
        <v>148</v>
      </c>
      <c r="H37" s="2" t="s">
        <v>153</v>
      </c>
    </row>
    <row r="38" spans="1:8" x14ac:dyDescent="0.25">
      <c r="A38" t="s">
        <v>6</v>
      </c>
      <c r="B38">
        <v>1</v>
      </c>
      <c r="C38" t="s">
        <v>114</v>
      </c>
      <c r="D38" s="2" t="s">
        <v>140</v>
      </c>
      <c r="E38" s="2" t="s">
        <v>144</v>
      </c>
      <c r="F38" s="2" t="s">
        <v>159</v>
      </c>
      <c r="G38" s="2" t="s">
        <v>149</v>
      </c>
      <c r="H38" s="2" t="s">
        <v>154</v>
      </c>
    </row>
    <row r="39" spans="1:8" x14ac:dyDescent="0.25">
      <c r="A39" t="s">
        <v>57</v>
      </c>
      <c r="B39">
        <v>0.2</v>
      </c>
      <c r="C39" t="s">
        <v>114</v>
      </c>
      <c r="D39" s="2" t="s">
        <v>69</v>
      </c>
      <c r="E39" s="2" t="s">
        <v>64</v>
      </c>
      <c r="F39" s="2" t="s">
        <v>74</v>
      </c>
      <c r="G39" s="2" t="s">
        <v>79</v>
      </c>
      <c r="H39" s="2" t="s">
        <v>84</v>
      </c>
    </row>
    <row r="40" spans="1:8" x14ac:dyDescent="0.25">
      <c r="A40" t="s">
        <v>57</v>
      </c>
      <c r="B40">
        <v>0.4</v>
      </c>
      <c r="C40" t="s">
        <v>114</v>
      </c>
      <c r="D40" s="2" t="s">
        <v>70</v>
      </c>
      <c r="E40" s="2" t="s">
        <v>65</v>
      </c>
      <c r="F40" s="2" t="s">
        <v>75</v>
      </c>
      <c r="G40" s="2" t="s">
        <v>80</v>
      </c>
      <c r="H40" s="2" t="s">
        <v>85</v>
      </c>
    </row>
    <row r="41" spans="1:8" x14ac:dyDescent="0.25">
      <c r="A41" t="s">
        <v>57</v>
      </c>
      <c r="B41">
        <v>0.6</v>
      </c>
      <c r="C41" t="s">
        <v>114</v>
      </c>
      <c r="D41" s="2" t="s">
        <v>71</v>
      </c>
      <c r="E41" s="2" t="s">
        <v>66</v>
      </c>
      <c r="F41" s="2" t="s">
        <v>76</v>
      </c>
      <c r="G41" s="2" t="s">
        <v>81</v>
      </c>
      <c r="H41" s="2" t="s">
        <v>86</v>
      </c>
    </row>
    <row r="42" spans="1:8" x14ac:dyDescent="0.25">
      <c r="A42" t="s">
        <v>57</v>
      </c>
      <c r="B42">
        <v>0.8</v>
      </c>
      <c r="C42" t="s">
        <v>114</v>
      </c>
      <c r="D42" s="2" t="s">
        <v>72</v>
      </c>
      <c r="E42" s="2" t="s">
        <v>67</v>
      </c>
      <c r="F42" s="2" t="s">
        <v>77</v>
      </c>
      <c r="G42" s="2" t="s">
        <v>82</v>
      </c>
      <c r="H42" s="2" t="s">
        <v>87</v>
      </c>
    </row>
    <row r="43" spans="1:8" x14ac:dyDescent="0.25">
      <c r="A43" t="s">
        <v>57</v>
      </c>
      <c r="B43">
        <v>1</v>
      </c>
      <c r="C43" t="s">
        <v>114</v>
      </c>
      <c r="D43" s="2" t="s">
        <v>73</v>
      </c>
      <c r="E43" s="2" t="s">
        <v>68</v>
      </c>
      <c r="F43" s="2" t="s">
        <v>78</v>
      </c>
      <c r="G43" s="2" t="s">
        <v>83</v>
      </c>
      <c r="H43" s="2" t="s">
        <v>88</v>
      </c>
    </row>
    <row r="44" spans="1:8" x14ac:dyDescent="0.25">
      <c r="A44" t="s">
        <v>56</v>
      </c>
      <c r="B44">
        <v>1</v>
      </c>
      <c r="C44" t="s">
        <v>114</v>
      </c>
      <c r="D44">
        <v>388.02140000000003</v>
      </c>
      <c r="E44">
        <v>876.76229999999998</v>
      </c>
      <c r="F44">
        <v>1459.4879000000001</v>
      </c>
      <c r="G44">
        <v>2022.8336999999999</v>
      </c>
      <c r="H44">
        <v>3090.5210999999999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450D-67A4-4FD0-8232-05B7A7B415AD}">
  <dimension ref="A1:I55"/>
  <sheetViews>
    <sheetView topLeftCell="A13" workbookViewId="0">
      <selection activeCell="J13" sqref="J1:P1048576"/>
    </sheetView>
  </sheetViews>
  <sheetFormatPr defaultRowHeight="15" x14ac:dyDescent="0.25"/>
  <cols>
    <col min="1" max="1" width="10.33203125" customWidth="1"/>
  </cols>
  <sheetData>
    <row r="1" spans="1:7" x14ac:dyDescent="0.25">
      <c r="A1" s="1" t="s">
        <v>0</v>
      </c>
      <c r="B1" t="s">
        <v>8</v>
      </c>
      <c r="C1" t="s">
        <v>63</v>
      </c>
      <c r="D1" t="s">
        <v>1</v>
      </c>
      <c r="E1" t="s">
        <v>2</v>
      </c>
      <c r="F1" t="s">
        <v>3</v>
      </c>
      <c r="G1" t="s">
        <v>9</v>
      </c>
    </row>
    <row r="2" spans="1:7" x14ac:dyDescent="0.25">
      <c r="A2" s="1" t="s">
        <v>4</v>
      </c>
      <c r="B2">
        <v>0.2</v>
      </c>
      <c r="C2" t="s">
        <v>62</v>
      </c>
      <c r="D2">
        <v>2.0893999999999999</v>
      </c>
      <c r="E2">
        <v>3.4129999999999998</v>
      </c>
      <c r="F2">
        <v>4.5884999999999998</v>
      </c>
      <c r="G2">
        <v>6.7712000000000003</v>
      </c>
    </row>
    <row r="3" spans="1:7" x14ac:dyDescent="0.25">
      <c r="A3" s="1" t="s">
        <v>4</v>
      </c>
      <c r="B3">
        <v>0.4</v>
      </c>
      <c r="C3" t="s">
        <v>62</v>
      </c>
      <c r="D3">
        <v>2.0897999999999999</v>
      </c>
      <c r="E3">
        <v>3.3992</v>
      </c>
      <c r="F3">
        <v>4.5583999999999998</v>
      </c>
      <c r="G3">
        <v>6.6203000000000003</v>
      </c>
    </row>
    <row r="4" spans="1:7" x14ac:dyDescent="0.25">
      <c r="A4" s="1" t="s">
        <v>4</v>
      </c>
      <c r="B4">
        <v>0.6</v>
      </c>
      <c r="C4" t="s">
        <v>62</v>
      </c>
      <c r="D4">
        <v>2.09</v>
      </c>
      <c r="E4">
        <v>3.3881999999999999</v>
      </c>
      <c r="F4">
        <v>4.5343</v>
      </c>
      <c r="G4">
        <v>6.5163000000000002</v>
      </c>
    </row>
    <row r="5" spans="1:7" x14ac:dyDescent="0.25">
      <c r="A5" s="1" t="s">
        <v>4</v>
      </c>
      <c r="B5">
        <v>0.8</v>
      </c>
      <c r="C5" t="s">
        <v>62</v>
      </c>
      <c r="D5">
        <v>2.0899000000000001</v>
      </c>
      <c r="E5">
        <v>3.3791000000000002</v>
      </c>
      <c r="F5">
        <v>4.5141999999999998</v>
      </c>
      <c r="G5">
        <v>6.4368999999999996</v>
      </c>
    </row>
    <row r="6" spans="1:7" x14ac:dyDescent="0.25">
      <c r="A6" s="1" t="s">
        <v>4</v>
      </c>
      <c r="B6">
        <v>1</v>
      </c>
      <c r="C6" t="s">
        <v>62</v>
      </c>
      <c r="D6">
        <v>2.0897999999999999</v>
      </c>
      <c r="E6">
        <v>3.3712</v>
      </c>
      <c r="F6">
        <v>4.4966999999999997</v>
      </c>
      <c r="G6">
        <v>6.3727</v>
      </c>
    </row>
    <row r="7" spans="1:7" x14ac:dyDescent="0.25">
      <c r="A7" s="1" t="s">
        <v>7</v>
      </c>
      <c r="B7">
        <v>0.2</v>
      </c>
      <c r="C7" t="s">
        <v>62</v>
      </c>
      <c r="D7">
        <v>2.2568000000000001</v>
      </c>
      <c r="E7">
        <v>3.7555999999999998</v>
      </c>
      <c r="F7">
        <v>5.1871999999999998</v>
      </c>
      <c r="G7">
        <v>7.7893999999999997</v>
      </c>
    </row>
    <row r="8" spans="1:7" x14ac:dyDescent="0.25">
      <c r="A8" s="1" t="s">
        <v>7</v>
      </c>
      <c r="B8">
        <v>0.4</v>
      </c>
      <c r="C8" t="s">
        <v>62</v>
      </c>
      <c r="D8">
        <v>2.2603</v>
      </c>
      <c r="E8">
        <v>3.7515000000000001</v>
      </c>
      <c r="F8">
        <v>5.1702000000000004</v>
      </c>
      <c r="G8">
        <v>7.6261000000000001</v>
      </c>
    </row>
    <row r="9" spans="1:7" x14ac:dyDescent="0.25">
      <c r="A9" s="1" t="s">
        <v>7</v>
      </c>
      <c r="B9">
        <v>0.6</v>
      </c>
      <c r="C9" t="s">
        <v>62</v>
      </c>
      <c r="D9">
        <v>2.2621000000000002</v>
      </c>
      <c r="E9">
        <v>3.7484999999999999</v>
      </c>
      <c r="F9">
        <v>5.1562000000000001</v>
      </c>
      <c r="G9">
        <v>7.5148000000000001</v>
      </c>
    </row>
    <row r="10" spans="1:7" x14ac:dyDescent="0.25">
      <c r="A10" s="1" t="s">
        <v>7</v>
      </c>
      <c r="B10">
        <v>0.8</v>
      </c>
      <c r="C10" t="s">
        <v>62</v>
      </c>
      <c r="D10">
        <v>2.2652999999999999</v>
      </c>
      <c r="E10">
        <v>3.7458999999999998</v>
      </c>
      <c r="F10">
        <v>5.1443000000000003</v>
      </c>
      <c r="G10">
        <v>7.4302999999999999</v>
      </c>
    </row>
    <row r="11" spans="1:7" x14ac:dyDescent="0.25">
      <c r="A11" s="1" t="s">
        <v>7</v>
      </c>
      <c r="B11">
        <v>1</v>
      </c>
      <c r="C11" t="s">
        <v>62</v>
      </c>
      <c r="D11">
        <v>2.2675000000000001</v>
      </c>
      <c r="E11">
        <v>3.7437</v>
      </c>
      <c r="F11">
        <v>5.1337999999999999</v>
      </c>
      <c r="G11">
        <v>7.3620999999999999</v>
      </c>
    </row>
    <row r="12" spans="1:7" x14ac:dyDescent="0.25">
      <c r="A12" t="s">
        <v>6</v>
      </c>
      <c r="B12">
        <v>0.2</v>
      </c>
      <c r="C12" t="s">
        <v>62</v>
      </c>
      <c r="D12">
        <v>2.222</v>
      </c>
      <c r="E12">
        <v>3.5369999999999999</v>
      </c>
      <c r="F12">
        <v>4.8177000000000003</v>
      </c>
      <c r="G12">
        <v>6.7112999999999996</v>
      </c>
    </row>
    <row r="13" spans="1:7" x14ac:dyDescent="0.25">
      <c r="A13" t="s">
        <v>6</v>
      </c>
      <c r="B13">
        <v>0.4</v>
      </c>
      <c r="C13" t="s">
        <v>62</v>
      </c>
      <c r="D13">
        <v>2.2238000000000002</v>
      </c>
      <c r="E13">
        <v>3.5087000000000002</v>
      </c>
      <c r="F13">
        <v>4.7477</v>
      </c>
      <c r="G13">
        <v>6.4612999999999996</v>
      </c>
    </row>
    <row r="14" spans="1:7" x14ac:dyDescent="0.25">
      <c r="A14" t="s">
        <v>6</v>
      </c>
      <c r="B14">
        <v>0.6</v>
      </c>
      <c r="C14" t="s">
        <v>62</v>
      </c>
      <c r="D14">
        <v>2.2241</v>
      </c>
      <c r="E14">
        <v>3.4891999999999999</v>
      </c>
      <c r="F14">
        <v>4.6990999999999996</v>
      </c>
      <c r="G14">
        <v>6.3117999999999999</v>
      </c>
    </row>
    <row r="15" spans="1:7" x14ac:dyDescent="0.25">
      <c r="A15" t="s">
        <v>6</v>
      </c>
      <c r="B15">
        <v>0.8</v>
      </c>
      <c r="C15" t="s">
        <v>62</v>
      </c>
      <c r="D15">
        <v>2.2223999999999999</v>
      </c>
      <c r="E15">
        <v>3.4731000000000001</v>
      </c>
      <c r="F15">
        <v>4.6616999999999997</v>
      </c>
      <c r="G15">
        <v>6.2043999999999997</v>
      </c>
    </row>
    <row r="16" spans="1:7" x14ac:dyDescent="0.25">
      <c r="A16" t="s">
        <v>6</v>
      </c>
      <c r="B16">
        <v>1</v>
      </c>
      <c r="C16" t="s">
        <v>62</v>
      </c>
      <c r="D16">
        <v>2.2218</v>
      </c>
      <c r="E16">
        <v>3.4596</v>
      </c>
      <c r="F16">
        <v>4.6307</v>
      </c>
      <c r="G16">
        <v>6.1208</v>
      </c>
    </row>
    <row r="17" spans="1:7" x14ac:dyDescent="0.25">
      <c r="A17" t="s">
        <v>57</v>
      </c>
      <c r="B17">
        <v>0.2</v>
      </c>
      <c r="C17" t="s">
        <v>62</v>
      </c>
      <c r="D17">
        <v>2.1677</v>
      </c>
      <c r="E17">
        <v>3.6345999999999998</v>
      </c>
      <c r="F17">
        <v>4.9484000000000004</v>
      </c>
      <c r="G17">
        <v>7.3597000000000001</v>
      </c>
    </row>
    <row r="18" spans="1:7" x14ac:dyDescent="0.25">
      <c r="A18" t="s">
        <v>57</v>
      </c>
      <c r="B18">
        <v>0.4</v>
      </c>
      <c r="C18" t="s">
        <v>62</v>
      </c>
      <c r="D18">
        <v>2.1692999999999998</v>
      </c>
      <c r="E18">
        <v>3.6273</v>
      </c>
      <c r="F18">
        <v>4.9264000000000001</v>
      </c>
      <c r="G18">
        <v>7.2038000000000002</v>
      </c>
    </row>
    <row r="19" spans="1:7" x14ac:dyDescent="0.25">
      <c r="A19" t="s">
        <v>57</v>
      </c>
      <c r="B19">
        <v>0.6</v>
      </c>
      <c r="C19" t="s">
        <v>62</v>
      </c>
      <c r="D19">
        <v>2.1709999999999998</v>
      </c>
      <c r="E19">
        <v>3.6211000000000002</v>
      </c>
      <c r="F19">
        <v>4.9074999999999998</v>
      </c>
      <c r="G19">
        <v>7.0933999999999999</v>
      </c>
    </row>
    <row r="20" spans="1:7" x14ac:dyDescent="0.25">
      <c r="A20" t="s">
        <v>57</v>
      </c>
      <c r="B20">
        <v>0.8</v>
      </c>
      <c r="C20" t="s">
        <v>62</v>
      </c>
      <c r="D20">
        <v>2.1728999999999998</v>
      </c>
      <c r="E20">
        <v>3.6158999999999999</v>
      </c>
      <c r="F20">
        <v>4.8916000000000004</v>
      </c>
      <c r="G20">
        <v>7.0082000000000004</v>
      </c>
    </row>
    <row r="21" spans="1:7" x14ac:dyDescent="0.25">
      <c r="A21" t="s">
        <v>57</v>
      </c>
      <c r="B21">
        <v>1</v>
      </c>
      <c r="C21" t="s">
        <v>62</v>
      </c>
      <c r="D21">
        <v>2.1736</v>
      </c>
      <c r="E21">
        <v>3.6109</v>
      </c>
      <c r="F21">
        <v>4.8771000000000004</v>
      </c>
      <c r="G21">
        <v>6.9375</v>
      </c>
    </row>
    <row r="22" spans="1:7" x14ac:dyDescent="0.25">
      <c r="A22" t="s">
        <v>56</v>
      </c>
      <c r="B22">
        <v>1</v>
      </c>
      <c r="C22" t="s">
        <v>62</v>
      </c>
      <c r="D22">
        <v>2.1957</v>
      </c>
      <c r="E22">
        <v>3.6457999999999999</v>
      </c>
      <c r="F22">
        <v>5.0702999999999996</v>
      </c>
      <c r="G22">
        <v>7.6723999999999997</v>
      </c>
    </row>
    <row r="24" spans="1:7" x14ac:dyDescent="0.25">
      <c r="A24" s="1" t="s">
        <v>4</v>
      </c>
      <c r="B24">
        <v>0.2</v>
      </c>
      <c r="C24" t="s">
        <v>114</v>
      </c>
      <c r="D24">
        <v>2.2176</v>
      </c>
      <c r="E24">
        <v>3.4474999999999998</v>
      </c>
      <c r="F24">
        <v>4.4478</v>
      </c>
      <c r="G24">
        <v>6.2446000000000002</v>
      </c>
    </row>
    <row r="25" spans="1:7" x14ac:dyDescent="0.25">
      <c r="A25" s="1" t="s">
        <v>4</v>
      </c>
      <c r="B25">
        <v>0.4</v>
      </c>
      <c r="C25" t="s">
        <v>114</v>
      </c>
      <c r="D25">
        <v>2.2195</v>
      </c>
      <c r="E25">
        <v>3.4308999999999998</v>
      </c>
      <c r="F25">
        <v>4.4149000000000003</v>
      </c>
      <c r="G25">
        <v>6.0975999999999999</v>
      </c>
    </row>
    <row r="26" spans="1:7" x14ac:dyDescent="0.25">
      <c r="A26" s="1" t="s">
        <v>4</v>
      </c>
      <c r="B26">
        <v>0.6</v>
      </c>
      <c r="C26" t="s">
        <v>114</v>
      </c>
      <c r="D26">
        <v>2.2208999999999999</v>
      </c>
      <c r="E26">
        <v>3.4174000000000002</v>
      </c>
      <c r="F26">
        <v>4.3869999999999996</v>
      </c>
      <c r="G26">
        <v>5.9931000000000001</v>
      </c>
    </row>
    <row r="27" spans="1:7" x14ac:dyDescent="0.25">
      <c r="A27" s="1" t="s">
        <v>4</v>
      </c>
      <c r="B27">
        <v>0.8</v>
      </c>
      <c r="C27" t="s">
        <v>114</v>
      </c>
      <c r="D27">
        <v>2.2223000000000002</v>
      </c>
      <c r="E27">
        <v>3.4058999999999999</v>
      </c>
      <c r="F27">
        <v>4.3640999999999996</v>
      </c>
      <c r="G27">
        <v>5.9127999999999998</v>
      </c>
    </row>
    <row r="28" spans="1:7" x14ac:dyDescent="0.25">
      <c r="A28" s="1" t="s">
        <v>4</v>
      </c>
      <c r="B28">
        <v>1</v>
      </c>
      <c r="C28" t="s">
        <v>114</v>
      </c>
      <c r="D28">
        <v>2.2231999999999998</v>
      </c>
      <c r="E28">
        <v>3.3959000000000001</v>
      </c>
      <c r="F28">
        <v>4.3445</v>
      </c>
      <c r="G28">
        <v>5.8464</v>
      </c>
    </row>
    <row r="29" spans="1:7" x14ac:dyDescent="0.25">
      <c r="A29" s="1" t="s">
        <v>7</v>
      </c>
      <c r="B29">
        <v>0.2</v>
      </c>
      <c r="C29" t="s">
        <v>114</v>
      </c>
      <c r="D29">
        <v>2.2585000000000002</v>
      </c>
      <c r="E29">
        <v>3.7789999999999999</v>
      </c>
      <c r="F29">
        <v>5.1403999999999996</v>
      </c>
      <c r="G29">
        <v>7.6191000000000004</v>
      </c>
    </row>
    <row r="30" spans="1:7" x14ac:dyDescent="0.25">
      <c r="A30" s="1" t="s">
        <v>7</v>
      </c>
      <c r="B30">
        <v>0.4</v>
      </c>
      <c r="C30" t="s">
        <v>114</v>
      </c>
      <c r="D30">
        <v>2.2618999999999998</v>
      </c>
      <c r="E30">
        <v>3.7730999999999999</v>
      </c>
      <c r="F30">
        <v>5.1166</v>
      </c>
      <c r="G30">
        <v>7.4368999999999996</v>
      </c>
    </row>
    <row r="31" spans="1:7" x14ac:dyDescent="0.25">
      <c r="A31" s="1" t="s">
        <v>7</v>
      </c>
      <c r="B31">
        <v>0.6</v>
      </c>
      <c r="C31" t="s">
        <v>114</v>
      </c>
      <c r="D31">
        <v>2.2627999999999999</v>
      </c>
      <c r="E31">
        <v>3.7679999999999998</v>
      </c>
      <c r="F31">
        <v>5.0967000000000002</v>
      </c>
      <c r="G31">
        <v>7.3091999999999997</v>
      </c>
    </row>
    <row r="32" spans="1:7" x14ac:dyDescent="0.25">
      <c r="A32" s="1" t="s">
        <v>7</v>
      </c>
      <c r="B32">
        <v>0.8</v>
      </c>
      <c r="C32" t="s">
        <v>114</v>
      </c>
      <c r="D32">
        <v>2.2642000000000002</v>
      </c>
      <c r="E32">
        <v>3.7639</v>
      </c>
      <c r="F32">
        <v>5.0803000000000003</v>
      </c>
      <c r="G32">
        <v>7.2121000000000004</v>
      </c>
    </row>
    <row r="33" spans="1:7" x14ac:dyDescent="0.25">
      <c r="A33" s="1" t="s">
        <v>7</v>
      </c>
      <c r="B33">
        <v>1</v>
      </c>
      <c r="C33" t="s">
        <v>114</v>
      </c>
      <c r="D33">
        <v>2.2652999999999999</v>
      </c>
      <c r="E33">
        <v>3.7602000000000002</v>
      </c>
      <c r="F33">
        <v>5.0658000000000003</v>
      </c>
      <c r="G33">
        <v>7.1348000000000003</v>
      </c>
    </row>
    <row r="34" spans="1:7" x14ac:dyDescent="0.25">
      <c r="A34" t="s">
        <v>6</v>
      </c>
      <c r="B34">
        <v>0.2</v>
      </c>
      <c r="C34" t="s">
        <v>114</v>
      </c>
      <c r="D34">
        <v>2.2431999999999999</v>
      </c>
      <c r="E34">
        <v>3.6364999999999998</v>
      </c>
      <c r="F34">
        <v>4.9387999999999996</v>
      </c>
      <c r="G34">
        <v>6.8842999999999996</v>
      </c>
    </row>
    <row r="35" spans="1:7" x14ac:dyDescent="0.25">
      <c r="A35" t="s">
        <v>6</v>
      </c>
      <c r="B35">
        <v>0.4</v>
      </c>
      <c r="C35" t="s">
        <v>114</v>
      </c>
      <c r="D35">
        <v>2.2441</v>
      </c>
      <c r="E35">
        <v>3.6025999999999998</v>
      </c>
      <c r="F35">
        <v>4.8475999999999999</v>
      </c>
      <c r="G35">
        <v>6.5605000000000002</v>
      </c>
    </row>
    <row r="36" spans="1:7" x14ac:dyDescent="0.25">
      <c r="A36" t="s">
        <v>6</v>
      </c>
      <c r="B36">
        <v>0.6</v>
      </c>
      <c r="C36" t="s">
        <v>114</v>
      </c>
      <c r="D36">
        <v>2.2433999999999998</v>
      </c>
      <c r="E36">
        <v>3.5792999999999999</v>
      </c>
      <c r="F36">
        <v>4.7862</v>
      </c>
      <c r="G36">
        <v>6.3697999999999997</v>
      </c>
    </row>
    <row r="37" spans="1:7" x14ac:dyDescent="0.25">
      <c r="A37" t="s">
        <v>6</v>
      </c>
      <c r="B37">
        <v>0.8</v>
      </c>
      <c r="C37" t="s">
        <v>114</v>
      </c>
      <c r="D37">
        <v>2.2418999999999998</v>
      </c>
      <c r="E37">
        <v>3.5623999999999998</v>
      </c>
      <c r="F37">
        <v>4.7393999999999998</v>
      </c>
      <c r="G37">
        <v>6.2355999999999998</v>
      </c>
    </row>
    <row r="38" spans="1:7" x14ac:dyDescent="0.25">
      <c r="A38" t="s">
        <v>6</v>
      </c>
      <c r="B38">
        <v>1</v>
      </c>
      <c r="C38" t="s">
        <v>114</v>
      </c>
      <c r="D38">
        <v>2.2402000000000002</v>
      </c>
      <c r="E38">
        <v>3.5480999999999998</v>
      </c>
      <c r="F38">
        <v>4.7015000000000002</v>
      </c>
      <c r="G38">
        <v>6.1336000000000004</v>
      </c>
    </row>
    <row r="39" spans="1:7" x14ac:dyDescent="0.25">
      <c r="A39" t="s">
        <v>57</v>
      </c>
      <c r="B39">
        <v>0.2</v>
      </c>
      <c r="C39" t="s">
        <v>114</v>
      </c>
      <c r="D39">
        <v>2.2195999999999998</v>
      </c>
      <c r="E39">
        <v>3.6168</v>
      </c>
      <c r="F39">
        <v>4.9448999999999996</v>
      </c>
      <c r="G39">
        <v>7.3106</v>
      </c>
    </row>
    <row r="40" spans="1:7" x14ac:dyDescent="0.25">
      <c r="A40" t="s">
        <v>57</v>
      </c>
      <c r="B40">
        <v>0.4</v>
      </c>
      <c r="C40" t="s">
        <v>114</v>
      </c>
      <c r="D40">
        <v>2.2183999999999999</v>
      </c>
      <c r="E40">
        <v>3.6023000000000001</v>
      </c>
      <c r="F40">
        <v>4.9153000000000002</v>
      </c>
      <c r="G40">
        <v>7.1219999999999999</v>
      </c>
    </row>
    <row r="41" spans="1:7" x14ac:dyDescent="0.25">
      <c r="A41" t="s">
        <v>57</v>
      </c>
      <c r="B41">
        <v>0.6</v>
      </c>
      <c r="C41" t="s">
        <v>114</v>
      </c>
      <c r="D41">
        <v>2.2174</v>
      </c>
      <c r="E41">
        <v>3.5903999999999998</v>
      </c>
      <c r="F41">
        <v>4.8897000000000004</v>
      </c>
      <c r="G41">
        <v>6.9881000000000002</v>
      </c>
    </row>
    <row r="42" spans="1:7" x14ac:dyDescent="0.25">
      <c r="A42" t="s">
        <v>57</v>
      </c>
      <c r="B42">
        <v>0.8</v>
      </c>
      <c r="C42" t="s">
        <v>114</v>
      </c>
      <c r="D42">
        <v>2.2164000000000001</v>
      </c>
      <c r="E42">
        <v>3.5800999999999998</v>
      </c>
      <c r="F42">
        <v>4.8669000000000002</v>
      </c>
      <c r="G42">
        <v>6.8844000000000003</v>
      </c>
    </row>
    <row r="43" spans="1:7" x14ac:dyDescent="0.25">
      <c r="A43" t="s">
        <v>57</v>
      </c>
      <c r="B43">
        <v>1</v>
      </c>
      <c r="C43" t="s">
        <v>114</v>
      </c>
      <c r="D43">
        <v>2.2153</v>
      </c>
      <c r="E43">
        <v>3.5716000000000001</v>
      </c>
      <c r="F43">
        <v>4.8468</v>
      </c>
      <c r="G43">
        <v>6.7983000000000002</v>
      </c>
    </row>
    <row r="44" spans="1:7" x14ac:dyDescent="0.25">
      <c r="A44" t="s">
        <v>56</v>
      </c>
      <c r="B44">
        <v>1</v>
      </c>
      <c r="C44" t="s">
        <v>114</v>
      </c>
      <c r="D44">
        <v>2.2595999999999998</v>
      </c>
      <c r="E44">
        <v>3.7612999999999999</v>
      </c>
      <c r="F44">
        <v>5.2131999999999996</v>
      </c>
      <c r="G44">
        <v>7.9648000000000003</v>
      </c>
    </row>
    <row r="50" spans="4:9" x14ac:dyDescent="0.25">
      <c r="D50" t="s">
        <v>174</v>
      </c>
      <c r="E50" t="s">
        <v>56</v>
      </c>
      <c r="F50" t="s">
        <v>7</v>
      </c>
      <c r="G50" t="s">
        <v>57</v>
      </c>
      <c r="H50" t="s">
        <v>4</v>
      </c>
      <c r="I50" t="s">
        <v>6</v>
      </c>
    </row>
    <row r="51" spans="4:9" x14ac:dyDescent="0.25">
      <c r="D51" t="s">
        <v>175</v>
      </c>
      <c r="E51">
        <v>13</v>
      </c>
      <c r="F51">
        <v>6</v>
      </c>
      <c r="G51">
        <v>22</v>
      </c>
      <c r="H51">
        <v>14</v>
      </c>
      <c r="I51">
        <v>14</v>
      </c>
    </row>
    <row r="52" spans="4:9" x14ac:dyDescent="0.25">
      <c r="D52" t="s">
        <v>176</v>
      </c>
      <c r="E52">
        <v>23</v>
      </c>
      <c r="F52">
        <v>8</v>
      </c>
      <c r="G52">
        <v>35</v>
      </c>
      <c r="H52">
        <v>23</v>
      </c>
      <c r="I52">
        <v>22</v>
      </c>
    </row>
    <row r="53" spans="4:9" x14ac:dyDescent="0.25">
      <c r="D53" t="s">
        <v>177</v>
      </c>
      <c r="E53">
        <v>0.29499999999999998</v>
      </c>
      <c r="F53">
        <v>0.53300000000000003</v>
      </c>
      <c r="G53">
        <v>0.152</v>
      </c>
      <c r="H53">
        <v>0.253</v>
      </c>
      <c r="I53">
        <v>0.24199999999999999</v>
      </c>
    </row>
    <row r="54" spans="4:9" x14ac:dyDescent="0.25">
      <c r="D54" t="s">
        <v>178</v>
      </c>
      <c r="E54">
        <v>14.6</v>
      </c>
      <c r="F54">
        <v>240</v>
      </c>
      <c r="G54">
        <v>147</v>
      </c>
      <c r="H54">
        <v>233</v>
      </c>
      <c r="I54">
        <v>968</v>
      </c>
    </row>
    <row r="55" spans="4:9" x14ac:dyDescent="0.25">
      <c r="D55" t="s">
        <v>179</v>
      </c>
      <c r="E55">
        <v>0.21</v>
      </c>
      <c r="F55">
        <v>0.42299999999999999</v>
      </c>
      <c r="G55">
        <v>8.5999999999999993E-2</v>
      </c>
      <c r="H55">
        <v>0.17</v>
      </c>
      <c r="I55">
        <v>0.25900000000000001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5AC6-E966-4E05-9E71-1EE87D51305D}">
  <dimension ref="A1:N52"/>
  <sheetViews>
    <sheetView workbookViewId="0">
      <selection activeCell="I17" sqref="I17"/>
    </sheetView>
  </sheetViews>
  <sheetFormatPr defaultRowHeight="15" x14ac:dyDescent="0.25"/>
  <sheetData>
    <row r="1" spans="1:14" x14ac:dyDescent="0.25">
      <c r="A1" s="1" t="s">
        <v>0</v>
      </c>
      <c r="B1" s="2" t="s">
        <v>166</v>
      </c>
      <c r="C1" s="2" t="s">
        <v>63</v>
      </c>
      <c r="D1" t="s">
        <v>165</v>
      </c>
      <c r="E1" t="s">
        <v>167</v>
      </c>
      <c r="F1" t="s">
        <v>164</v>
      </c>
      <c r="I1" s="1"/>
    </row>
    <row r="2" spans="1:14" x14ac:dyDescent="0.25">
      <c r="A2" s="1" t="s">
        <v>4</v>
      </c>
      <c r="B2" s="1" t="s">
        <v>14</v>
      </c>
      <c r="C2" s="2" t="s">
        <v>5</v>
      </c>
      <c r="D2" s="1">
        <v>0</v>
      </c>
      <c r="E2">
        <v>0.2525</v>
      </c>
      <c r="F2">
        <v>0.93</v>
      </c>
      <c r="I2" s="1"/>
      <c r="K2" s="2"/>
      <c r="L2" s="2"/>
      <c r="M2" s="2"/>
      <c r="N2" s="2"/>
    </row>
    <row r="3" spans="1:14" x14ac:dyDescent="0.25">
      <c r="A3" s="1" t="s">
        <v>4</v>
      </c>
      <c r="B3" s="1" t="s">
        <v>58</v>
      </c>
      <c r="C3" s="2" t="s">
        <v>5</v>
      </c>
      <c r="D3" s="2">
        <v>0</v>
      </c>
      <c r="E3">
        <v>0.25</v>
      </c>
      <c r="F3">
        <v>0.97033899999999995</v>
      </c>
      <c r="I3" s="1"/>
      <c r="K3" s="2"/>
      <c r="L3" s="2"/>
      <c r="M3" s="2"/>
      <c r="N3" s="2"/>
    </row>
    <row r="4" spans="1:14" x14ac:dyDescent="0.25">
      <c r="A4" s="1" t="s">
        <v>4</v>
      </c>
      <c r="B4" t="s">
        <v>59</v>
      </c>
      <c r="C4" t="s">
        <v>5</v>
      </c>
      <c r="D4" s="2">
        <v>0</v>
      </c>
      <c r="E4">
        <v>0.251799</v>
      </c>
      <c r="F4">
        <v>0.983213</v>
      </c>
    </row>
    <row r="5" spans="1:14" x14ac:dyDescent="0.25">
      <c r="A5" s="1" t="s">
        <v>4</v>
      </c>
      <c r="B5" t="s">
        <v>60</v>
      </c>
      <c r="C5" t="s">
        <v>5</v>
      </c>
      <c r="D5">
        <v>0</v>
      </c>
      <c r="E5">
        <v>0.251083</v>
      </c>
      <c r="F5">
        <v>0.98786799999999997</v>
      </c>
    </row>
    <row r="6" spans="1:14" x14ac:dyDescent="0.25">
      <c r="A6" s="1" t="s">
        <v>4</v>
      </c>
      <c r="B6" t="s">
        <v>61</v>
      </c>
      <c r="C6" t="s">
        <v>5</v>
      </c>
      <c r="D6">
        <v>0</v>
      </c>
      <c r="E6">
        <v>0.24943199999999999</v>
      </c>
      <c r="F6">
        <v>0.98977300000000001</v>
      </c>
    </row>
    <row r="7" spans="1:14" x14ac:dyDescent="0.25">
      <c r="A7" s="1" t="s">
        <v>7</v>
      </c>
      <c r="B7" s="1" t="s">
        <v>14</v>
      </c>
      <c r="C7" t="s">
        <v>5</v>
      </c>
      <c r="D7">
        <v>0</v>
      </c>
      <c r="E7">
        <v>0.13913</v>
      </c>
      <c r="F7">
        <v>0.82</v>
      </c>
      <c r="I7" t="s">
        <v>180</v>
      </c>
      <c r="J7" t="s">
        <v>181</v>
      </c>
      <c r="K7" t="s">
        <v>182</v>
      </c>
      <c r="L7" t="s">
        <v>183</v>
      </c>
      <c r="M7" t="s">
        <v>184</v>
      </c>
    </row>
    <row r="8" spans="1:14" x14ac:dyDescent="0.25">
      <c r="A8" s="1" t="s">
        <v>7</v>
      </c>
      <c r="B8" s="1" t="s">
        <v>58</v>
      </c>
      <c r="C8" t="s">
        <v>5</v>
      </c>
      <c r="D8">
        <v>0</v>
      </c>
      <c r="E8">
        <v>0.13467199999999999</v>
      </c>
      <c r="F8">
        <v>0.92372900000000002</v>
      </c>
      <c r="I8" t="s">
        <v>185</v>
      </c>
      <c r="J8" t="s">
        <v>186</v>
      </c>
      <c r="K8">
        <v>20</v>
      </c>
      <c r="L8">
        <v>5</v>
      </c>
      <c r="M8">
        <v>-3.5</v>
      </c>
    </row>
    <row r="9" spans="1:14" x14ac:dyDescent="0.25">
      <c r="A9" s="1" t="s">
        <v>7</v>
      </c>
      <c r="B9" t="s">
        <v>59</v>
      </c>
      <c r="C9" t="s">
        <v>5</v>
      </c>
      <c r="D9">
        <v>0</v>
      </c>
      <c r="E9">
        <v>0.13397999999999999</v>
      </c>
      <c r="F9">
        <v>0.95683499999999999</v>
      </c>
      <c r="I9" t="s">
        <v>187</v>
      </c>
      <c r="J9" t="s">
        <v>188</v>
      </c>
      <c r="K9">
        <v>18.5</v>
      </c>
      <c r="L9">
        <v>6</v>
      </c>
      <c r="M9">
        <v>-0.5</v>
      </c>
    </row>
    <row r="10" spans="1:14" x14ac:dyDescent="0.25">
      <c r="A10" s="1" t="s">
        <v>7</v>
      </c>
      <c r="B10" t="s">
        <v>60</v>
      </c>
      <c r="C10" t="s">
        <v>5</v>
      </c>
      <c r="D10">
        <v>0</v>
      </c>
      <c r="E10">
        <v>0.13375000000000001</v>
      </c>
      <c r="F10">
        <v>0.968804</v>
      </c>
      <c r="I10" t="s">
        <v>189</v>
      </c>
      <c r="J10" t="s">
        <v>190</v>
      </c>
      <c r="K10">
        <v>20</v>
      </c>
      <c r="L10">
        <v>7</v>
      </c>
      <c r="M10">
        <v>-2</v>
      </c>
    </row>
    <row r="11" spans="1:14" x14ac:dyDescent="0.25">
      <c r="A11" s="1" t="s">
        <v>7</v>
      </c>
      <c r="B11" t="s">
        <v>61</v>
      </c>
      <c r="C11" t="s">
        <v>5</v>
      </c>
      <c r="D11">
        <v>0</v>
      </c>
      <c r="E11">
        <v>0.132905</v>
      </c>
      <c r="F11">
        <v>0.97727299999999995</v>
      </c>
      <c r="I11" t="s">
        <v>14</v>
      </c>
      <c r="J11" t="s">
        <v>191</v>
      </c>
      <c r="K11">
        <v>23.5</v>
      </c>
      <c r="L11">
        <v>5</v>
      </c>
      <c r="M11">
        <v>-1.5</v>
      </c>
    </row>
    <row r="12" spans="1:14" x14ac:dyDescent="0.25">
      <c r="A12" t="s">
        <v>6</v>
      </c>
      <c r="B12" s="1" t="s">
        <v>14</v>
      </c>
      <c r="C12" t="s">
        <v>5</v>
      </c>
      <c r="D12">
        <v>0</v>
      </c>
      <c r="E12">
        <v>0.13913</v>
      </c>
      <c r="F12">
        <v>0.82</v>
      </c>
      <c r="I12" t="s">
        <v>192</v>
      </c>
      <c r="J12" t="s">
        <v>193</v>
      </c>
      <c r="K12">
        <v>22</v>
      </c>
      <c r="L12">
        <v>5.5</v>
      </c>
      <c r="M12">
        <v>-1.5</v>
      </c>
    </row>
    <row r="13" spans="1:14" x14ac:dyDescent="0.25">
      <c r="A13" t="s">
        <v>6</v>
      </c>
      <c r="B13" s="1" t="s">
        <v>58</v>
      </c>
      <c r="C13" t="s">
        <v>5</v>
      </c>
      <c r="D13">
        <v>0</v>
      </c>
      <c r="E13">
        <v>0.13467199999999999</v>
      </c>
      <c r="F13">
        <v>0.92372900000000002</v>
      </c>
    </row>
    <row r="14" spans="1:14" x14ac:dyDescent="0.25">
      <c r="A14" t="s">
        <v>6</v>
      </c>
      <c r="B14" t="s">
        <v>59</v>
      </c>
      <c r="C14" t="s">
        <v>5</v>
      </c>
      <c r="D14">
        <v>0</v>
      </c>
      <c r="E14">
        <v>0.13397999999999999</v>
      </c>
      <c r="F14">
        <v>0.95683499999999999</v>
      </c>
    </row>
    <row r="15" spans="1:14" x14ac:dyDescent="0.25">
      <c r="A15" t="s">
        <v>6</v>
      </c>
      <c r="B15" t="s">
        <v>60</v>
      </c>
      <c r="C15" t="s">
        <v>5</v>
      </c>
      <c r="D15">
        <v>0</v>
      </c>
      <c r="E15">
        <v>0.13375000000000001</v>
      </c>
      <c r="F15">
        <v>0.968804</v>
      </c>
    </row>
    <row r="16" spans="1:14" x14ac:dyDescent="0.25">
      <c r="A16" t="s">
        <v>6</v>
      </c>
      <c r="B16" t="s">
        <v>61</v>
      </c>
      <c r="C16" t="s">
        <v>5</v>
      </c>
      <c r="D16">
        <v>0</v>
      </c>
      <c r="E16">
        <v>0.132905</v>
      </c>
      <c r="F16">
        <v>0.97727299999999995</v>
      </c>
    </row>
    <row r="17" spans="1:6" x14ac:dyDescent="0.25">
      <c r="A17" t="s">
        <v>57</v>
      </c>
      <c r="B17" s="1" t="s">
        <v>14</v>
      </c>
      <c r="C17" t="s">
        <v>5</v>
      </c>
      <c r="D17">
        <v>0.01</v>
      </c>
      <c r="E17">
        <v>0.120952</v>
      </c>
      <c r="F17">
        <v>0.35</v>
      </c>
    </row>
    <row r="18" spans="1:6" x14ac:dyDescent="0.25">
      <c r="A18" t="s">
        <v>57</v>
      </c>
      <c r="B18" s="1" t="s">
        <v>58</v>
      </c>
      <c r="C18" t="s">
        <v>5</v>
      </c>
      <c r="D18">
        <v>1.6948999999999999E-2</v>
      </c>
      <c r="E18">
        <v>0.120056</v>
      </c>
      <c r="F18">
        <v>0.67796599999999996</v>
      </c>
    </row>
    <row r="19" spans="1:6" x14ac:dyDescent="0.25">
      <c r="A19" t="s">
        <v>57</v>
      </c>
      <c r="B19" t="s">
        <v>59</v>
      </c>
      <c r="C19" t="s">
        <v>5</v>
      </c>
      <c r="D19">
        <v>9.5919999999999998E-3</v>
      </c>
      <c r="E19">
        <v>0.120132</v>
      </c>
      <c r="F19">
        <v>0.81774599999999997</v>
      </c>
    </row>
    <row r="20" spans="1:6" x14ac:dyDescent="0.25">
      <c r="A20" t="s">
        <v>57</v>
      </c>
      <c r="B20" t="s">
        <v>60</v>
      </c>
      <c r="C20" t="s">
        <v>5</v>
      </c>
      <c r="D20">
        <v>6.9319999999999998E-3</v>
      </c>
      <c r="E20">
        <v>0.120409</v>
      </c>
      <c r="F20">
        <v>0.86828399999999994</v>
      </c>
    </row>
    <row r="21" spans="1:6" x14ac:dyDescent="0.25">
      <c r="A21" t="s">
        <v>57</v>
      </c>
      <c r="B21" t="s">
        <v>61</v>
      </c>
      <c r="C21" t="s">
        <v>5</v>
      </c>
      <c r="D21">
        <v>2.2729999999999998E-3</v>
      </c>
      <c r="E21">
        <v>0.120292</v>
      </c>
      <c r="F21">
        <v>0.92613599999999996</v>
      </c>
    </row>
    <row r="22" spans="1:6" x14ac:dyDescent="0.25">
      <c r="A22" t="s">
        <v>56</v>
      </c>
      <c r="B22" s="1" t="s">
        <v>14</v>
      </c>
      <c r="C22" t="s">
        <v>5</v>
      </c>
      <c r="D22">
        <v>0</v>
      </c>
      <c r="E22">
        <v>0.11457100000000001</v>
      </c>
      <c r="F22">
        <v>0.59</v>
      </c>
    </row>
    <row r="23" spans="1:6" x14ac:dyDescent="0.25">
      <c r="A23" t="s">
        <v>56</v>
      </c>
      <c r="B23" s="1" t="s">
        <v>58</v>
      </c>
      <c r="C23" t="s">
        <v>5</v>
      </c>
      <c r="D23">
        <v>0</v>
      </c>
      <c r="E23">
        <v>0.111622</v>
      </c>
      <c r="F23">
        <v>0.82627099999999998</v>
      </c>
    </row>
    <row r="24" spans="1:6" x14ac:dyDescent="0.25">
      <c r="A24" t="s">
        <v>56</v>
      </c>
      <c r="B24" t="s">
        <v>59</v>
      </c>
      <c r="C24" t="s">
        <v>5</v>
      </c>
      <c r="D24">
        <v>0</v>
      </c>
      <c r="E24">
        <v>0.11086</v>
      </c>
      <c r="F24">
        <v>0.90167900000000001</v>
      </c>
    </row>
    <row r="25" spans="1:6" x14ac:dyDescent="0.25">
      <c r="A25" t="s">
        <v>56</v>
      </c>
      <c r="B25" t="s">
        <v>60</v>
      </c>
      <c r="C25" t="s">
        <v>5</v>
      </c>
      <c r="D25">
        <v>0</v>
      </c>
      <c r="E25">
        <v>0.110275</v>
      </c>
      <c r="F25">
        <v>0.92894299999999996</v>
      </c>
    </row>
    <row r="26" spans="1:6" x14ac:dyDescent="0.25">
      <c r="A26" t="s">
        <v>56</v>
      </c>
      <c r="B26" t="s">
        <v>61</v>
      </c>
      <c r="C26" t="s">
        <v>5</v>
      </c>
      <c r="D26">
        <v>0</v>
      </c>
      <c r="E26">
        <v>0.10987</v>
      </c>
      <c r="F26">
        <v>0.95113599999999998</v>
      </c>
    </row>
    <row r="27" spans="1:6" x14ac:dyDescent="0.25">
      <c r="A27" s="1"/>
      <c r="B27" s="2"/>
      <c r="C27" s="2"/>
    </row>
    <row r="28" spans="1:6" x14ac:dyDescent="0.25">
      <c r="A28" s="1" t="s">
        <v>4</v>
      </c>
      <c r="B28" s="1" t="s">
        <v>14</v>
      </c>
      <c r="C28" s="2" t="s">
        <v>168</v>
      </c>
      <c r="D28">
        <v>0.09</v>
      </c>
      <c r="E28">
        <v>0.23499999999999999</v>
      </c>
      <c r="F28">
        <v>0.68</v>
      </c>
    </row>
    <row r="29" spans="1:6" x14ac:dyDescent="0.25">
      <c r="A29" s="1" t="s">
        <v>4</v>
      </c>
      <c r="B29" s="1" t="s">
        <v>58</v>
      </c>
      <c r="C29" s="2" t="s">
        <v>168</v>
      </c>
      <c r="D29">
        <v>0.10169499999999999</v>
      </c>
      <c r="E29">
        <v>0.23622899999999999</v>
      </c>
      <c r="F29">
        <v>0.67796599999999996</v>
      </c>
    </row>
    <row r="30" spans="1:6" x14ac:dyDescent="0.25">
      <c r="A30" s="1" t="s">
        <v>4</v>
      </c>
      <c r="B30" t="s">
        <v>59</v>
      </c>
      <c r="C30" s="2" t="s">
        <v>168</v>
      </c>
      <c r="D30">
        <v>0.107914</v>
      </c>
      <c r="E30">
        <v>0.236211</v>
      </c>
      <c r="F30">
        <v>0.67146300000000003</v>
      </c>
    </row>
    <row r="31" spans="1:6" x14ac:dyDescent="0.25">
      <c r="A31" s="1" t="s">
        <v>4</v>
      </c>
      <c r="B31" t="s">
        <v>60</v>
      </c>
      <c r="C31" s="2" t="s">
        <v>168</v>
      </c>
      <c r="D31">
        <v>0.109185</v>
      </c>
      <c r="E31">
        <v>0.235485</v>
      </c>
      <c r="F31">
        <v>0.66551099999999996</v>
      </c>
    </row>
    <row r="32" spans="1:6" x14ac:dyDescent="0.25">
      <c r="A32" s="1" t="s">
        <v>4</v>
      </c>
      <c r="B32" t="s">
        <v>61</v>
      </c>
      <c r="C32" s="2" t="s">
        <v>168</v>
      </c>
      <c r="D32">
        <v>0.10909099999999999</v>
      </c>
      <c r="E32">
        <v>0.23508499999999999</v>
      </c>
      <c r="F32">
        <v>0.66477299999999995</v>
      </c>
    </row>
    <row r="33" spans="1:6" x14ac:dyDescent="0.25">
      <c r="A33" s="1" t="s">
        <v>7</v>
      </c>
      <c r="B33" s="1" t="s">
        <v>14</v>
      </c>
      <c r="C33" s="2" t="s">
        <v>168</v>
      </c>
      <c r="D33">
        <v>0</v>
      </c>
      <c r="E33">
        <v>0.13869600000000001</v>
      </c>
      <c r="F33">
        <v>0.54</v>
      </c>
    </row>
    <row r="34" spans="1:6" x14ac:dyDescent="0.25">
      <c r="A34" s="1" t="s">
        <v>7</v>
      </c>
      <c r="B34" s="1" t="s">
        <v>58</v>
      </c>
      <c r="C34" s="2" t="s">
        <v>168</v>
      </c>
      <c r="D34">
        <v>0</v>
      </c>
      <c r="E34">
        <v>0.13780400000000001</v>
      </c>
      <c r="F34">
        <v>0.54661000000000004</v>
      </c>
    </row>
    <row r="35" spans="1:6" x14ac:dyDescent="0.25">
      <c r="A35" s="1" t="s">
        <v>7</v>
      </c>
      <c r="B35" t="s">
        <v>59</v>
      </c>
      <c r="C35" s="2" t="s">
        <v>168</v>
      </c>
      <c r="D35">
        <v>0</v>
      </c>
      <c r="E35">
        <v>0.13658600000000001</v>
      </c>
      <c r="F35">
        <v>0.546763</v>
      </c>
    </row>
    <row r="36" spans="1:6" x14ac:dyDescent="0.25">
      <c r="A36" s="1" t="s">
        <v>7</v>
      </c>
      <c r="B36" t="s">
        <v>60</v>
      </c>
      <c r="C36" s="2" t="s">
        <v>168</v>
      </c>
      <c r="D36">
        <v>0</v>
      </c>
      <c r="E36">
        <v>0.13608600000000001</v>
      </c>
      <c r="F36">
        <v>0.54592700000000005</v>
      </c>
    </row>
    <row r="37" spans="1:6" x14ac:dyDescent="0.25">
      <c r="A37" s="1" t="s">
        <v>7</v>
      </c>
      <c r="B37" t="s">
        <v>61</v>
      </c>
      <c r="C37" s="2" t="s">
        <v>168</v>
      </c>
      <c r="D37">
        <v>0</v>
      </c>
      <c r="E37">
        <v>0.13572100000000001</v>
      </c>
      <c r="F37">
        <v>0.54318200000000005</v>
      </c>
    </row>
    <row r="38" spans="1:6" x14ac:dyDescent="0.25">
      <c r="A38" t="s">
        <v>6</v>
      </c>
      <c r="B38" s="1" t="s">
        <v>14</v>
      </c>
      <c r="C38" s="2" t="s">
        <v>168</v>
      </c>
      <c r="D38">
        <v>0.09</v>
      </c>
      <c r="E38">
        <v>0.23499999999999999</v>
      </c>
      <c r="F38">
        <v>0.68</v>
      </c>
    </row>
    <row r="39" spans="1:6" x14ac:dyDescent="0.25">
      <c r="A39" t="s">
        <v>6</v>
      </c>
      <c r="B39" s="1" t="s">
        <v>58</v>
      </c>
      <c r="C39" s="2" t="s">
        <v>168</v>
      </c>
      <c r="D39">
        <v>0.10169499999999999</v>
      </c>
      <c r="E39">
        <v>0.23622899999999999</v>
      </c>
      <c r="F39">
        <v>0.67796599999999996</v>
      </c>
    </row>
    <row r="40" spans="1:6" x14ac:dyDescent="0.25">
      <c r="A40" t="s">
        <v>6</v>
      </c>
      <c r="B40" t="s">
        <v>59</v>
      </c>
      <c r="C40" s="2" t="s">
        <v>168</v>
      </c>
      <c r="D40">
        <v>0.107914</v>
      </c>
      <c r="E40">
        <v>0.236211</v>
      </c>
      <c r="F40">
        <v>0.67146300000000003</v>
      </c>
    </row>
    <row r="41" spans="1:6" x14ac:dyDescent="0.25">
      <c r="A41" t="s">
        <v>6</v>
      </c>
      <c r="B41" t="s">
        <v>60</v>
      </c>
      <c r="C41" s="2" t="s">
        <v>168</v>
      </c>
      <c r="D41">
        <v>0.109185</v>
      </c>
      <c r="E41">
        <v>0.235485</v>
      </c>
      <c r="F41">
        <v>0.66551099999999996</v>
      </c>
    </row>
    <row r="42" spans="1:6" x14ac:dyDescent="0.25">
      <c r="A42" t="s">
        <v>6</v>
      </c>
      <c r="B42" t="s">
        <v>61</v>
      </c>
      <c r="C42" s="2" t="s">
        <v>168</v>
      </c>
      <c r="D42">
        <v>0.10909099999999999</v>
      </c>
      <c r="E42">
        <v>0.23508499999999999</v>
      </c>
      <c r="F42">
        <v>0.66477299999999995</v>
      </c>
    </row>
    <row r="43" spans="1:6" x14ac:dyDescent="0.25">
      <c r="A43" t="s">
        <v>57</v>
      </c>
      <c r="B43" s="1" t="s">
        <v>14</v>
      </c>
      <c r="C43" s="2" t="s">
        <v>168</v>
      </c>
      <c r="D43">
        <v>0.01</v>
      </c>
      <c r="E43">
        <v>0.12523799999999999</v>
      </c>
      <c r="F43">
        <v>0.36</v>
      </c>
    </row>
    <row r="44" spans="1:6" x14ac:dyDescent="0.25">
      <c r="A44" t="s">
        <v>57</v>
      </c>
      <c r="B44" s="1" t="s">
        <v>58</v>
      </c>
      <c r="C44" s="2" t="s">
        <v>168</v>
      </c>
      <c r="D44">
        <v>4.2370000000000003E-3</v>
      </c>
      <c r="E44">
        <v>0.12711900000000001</v>
      </c>
      <c r="F44">
        <v>0.37711899999999998</v>
      </c>
    </row>
    <row r="45" spans="1:6" x14ac:dyDescent="0.25">
      <c r="A45" t="s">
        <v>57</v>
      </c>
      <c r="B45" t="s">
        <v>59</v>
      </c>
      <c r="C45" s="2" t="s">
        <v>168</v>
      </c>
      <c r="D45">
        <v>2.398E-3</v>
      </c>
      <c r="E45">
        <v>0.126413</v>
      </c>
      <c r="F45">
        <v>0.38369300000000001</v>
      </c>
    </row>
    <row r="46" spans="1:6" x14ac:dyDescent="0.25">
      <c r="A46" t="s">
        <v>57</v>
      </c>
      <c r="B46" t="s">
        <v>60</v>
      </c>
      <c r="C46" s="2" t="s">
        <v>168</v>
      </c>
      <c r="D46">
        <v>1.7329999999999999E-3</v>
      </c>
      <c r="E46">
        <v>0.12742400000000001</v>
      </c>
      <c r="F46">
        <v>0.38821499999999998</v>
      </c>
    </row>
    <row r="47" spans="1:6" x14ac:dyDescent="0.25">
      <c r="A47" t="s">
        <v>57</v>
      </c>
      <c r="B47" t="s">
        <v>61</v>
      </c>
      <c r="C47" s="2" t="s">
        <v>168</v>
      </c>
      <c r="D47">
        <v>5.6820000000000004E-3</v>
      </c>
      <c r="E47">
        <v>0.12786800000000001</v>
      </c>
      <c r="F47">
        <v>0.38977299999999998</v>
      </c>
    </row>
    <row r="48" spans="1:6" x14ac:dyDescent="0.25">
      <c r="A48" t="s">
        <v>56</v>
      </c>
      <c r="B48" s="1" t="s">
        <v>14</v>
      </c>
      <c r="C48" s="2" t="s">
        <v>168</v>
      </c>
      <c r="D48">
        <v>0</v>
      </c>
      <c r="E48">
        <v>0.110571</v>
      </c>
      <c r="F48">
        <v>0.51</v>
      </c>
    </row>
    <row r="49" spans="1:6" x14ac:dyDescent="0.25">
      <c r="A49" t="s">
        <v>56</v>
      </c>
      <c r="B49" s="1" t="s">
        <v>58</v>
      </c>
      <c r="C49" s="2" t="s">
        <v>168</v>
      </c>
      <c r="D49">
        <v>0</v>
      </c>
      <c r="E49">
        <v>0.114286</v>
      </c>
      <c r="F49">
        <v>0.58050800000000002</v>
      </c>
    </row>
    <row r="50" spans="1:6" x14ac:dyDescent="0.25">
      <c r="A50" t="s">
        <v>56</v>
      </c>
      <c r="B50" t="s">
        <v>59</v>
      </c>
      <c r="C50" s="2" t="s">
        <v>168</v>
      </c>
      <c r="D50">
        <v>0</v>
      </c>
      <c r="E50">
        <v>0.116273</v>
      </c>
      <c r="F50">
        <v>0.61870499999999995</v>
      </c>
    </row>
    <row r="51" spans="1:6" x14ac:dyDescent="0.25">
      <c r="A51" t="s">
        <v>56</v>
      </c>
      <c r="B51" t="s">
        <v>60</v>
      </c>
      <c r="C51" s="2" t="s">
        <v>168</v>
      </c>
      <c r="D51">
        <v>0</v>
      </c>
      <c r="E51">
        <v>0.116316</v>
      </c>
      <c r="F51">
        <v>0.62565000000000004</v>
      </c>
    </row>
    <row r="52" spans="1:6" x14ac:dyDescent="0.25">
      <c r="A52" t="s">
        <v>56</v>
      </c>
      <c r="B52" t="s">
        <v>61</v>
      </c>
      <c r="C52" s="2" t="s">
        <v>168</v>
      </c>
      <c r="D52">
        <v>0</v>
      </c>
      <c r="E52">
        <v>0.117175</v>
      </c>
      <c r="F52">
        <v>0.63636400000000004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EE1E-4CBB-415F-95F8-165D4B6A1E64}">
  <dimension ref="A1:O52"/>
  <sheetViews>
    <sheetView tabSelected="1" workbookViewId="0">
      <selection activeCell="G33" sqref="G33"/>
    </sheetView>
  </sheetViews>
  <sheetFormatPr defaultRowHeight="15" x14ac:dyDescent="0.25"/>
  <sheetData>
    <row r="1" spans="1:15" x14ac:dyDescent="0.25">
      <c r="A1" s="1" t="s">
        <v>0</v>
      </c>
      <c r="B1" s="2" t="s">
        <v>166</v>
      </c>
      <c r="C1" s="2" t="s">
        <v>63</v>
      </c>
      <c r="D1" t="s">
        <v>169</v>
      </c>
      <c r="E1" t="s">
        <v>172</v>
      </c>
      <c r="J1" t="s">
        <v>170</v>
      </c>
    </row>
    <row r="2" spans="1:15" x14ac:dyDescent="0.25">
      <c r="A2" s="1" t="s">
        <v>4</v>
      </c>
      <c r="B2" s="1" t="s">
        <v>14</v>
      </c>
      <c r="C2" s="2" t="s">
        <v>5</v>
      </c>
      <c r="D2" s="2" t="s">
        <v>13</v>
      </c>
      <c r="E2">
        <f>D2/J2</f>
        <v>80.441950552161103</v>
      </c>
      <c r="I2" s="1" t="s">
        <v>14</v>
      </c>
      <c r="J2">
        <v>4.32</v>
      </c>
    </row>
    <row r="3" spans="1:15" x14ac:dyDescent="0.25">
      <c r="A3" s="1" t="s">
        <v>4</v>
      </c>
      <c r="B3" s="1" t="s">
        <v>58</v>
      </c>
      <c r="C3" s="2" t="s">
        <v>5</v>
      </c>
      <c r="D3" s="2" t="s">
        <v>55</v>
      </c>
      <c r="E3">
        <f>D3/J3</f>
        <v>71.365125978740068</v>
      </c>
      <c r="I3" s="1" t="s">
        <v>58</v>
      </c>
      <c r="J3">
        <v>10.176</v>
      </c>
      <c r="L3" t="s">
        <v>171</v>
      </c>
    </row>
    <row r="4" spans="1:15" x14ac:dyDescent="0.25">
      <c r="A4" s="1" t="s">
        <v>4</v>
      </c>
      <c r="B4" t="s">
        <v>59</v>
      </c>
      <c r="C4" t="s">
        <v>5</v>
      </c>
      <c r="D4" s="2" t="s">
        <v>45</v>
      </c>
      <c r="E4">
        <f>D4/J4</f>
        <v>67.421973570460977</v>
      </c>
      <c r="I4" t="s">
        <v>59</v>
      </c>
      <c r="J4">
        <v>17.376000000000001</v>
      </c>
      <c r="L4" t="s">
        <v>172</v>
      </c>
    </row>
    <row r="5" spans="1:15" x14ac:dyDescent="0.25">
      <c r="A5" s="1" t="s">
        <v>4</v>
      </c>
      <c r="B5" t="s">
        <v>60</v>
      </c>
      <c r="C5" t="s">
        <v>5</v>
      </c>
      <c r="D5" s="2" t="s">
        <v>198</v>
      </c>
      <c r="E5">
        <f t="shared" ref="E3:E6" si="0">D5/J5</f>
        <v>60.96507454074321</v>
      </c>
      <c r="I5" t="s">
        <v>60</v>
      </c>
      <c r="J5">
        <v>25.632000000000001</v>
      </c>
      <c r="L5" t="s">
        <v>173</v>
      </c>
      <c r="M5" s="2"/>
    </row>
    <row r="6" spans="1:15" x14ac:dyDescent="0.25">
      <c r="A6" s="1" t="s">
        <v>4</v>
      </c>
      <c r="B6" t="s">
        <v>61</v>
      </c>
      <c r="C6" t="s">
        <v>5</v>
      </c>
      <c r="D6" s="2" t="s">
        <v>50</v>
      </c>
      <c r="E6">
        <f t="shared" si="0"/>
        <v>52.547570715546932</v>
      </c>
      <c r="I6" t="s">
        <v>61</v>
      </c>
      <c r="J6">
        <v>42.143999999999998</v>
      </c>
    </row>
    <row r="7" spans="1:15" x14ac:dyDescent="0.25">
      <c r="A7" s="1" t="s">
        <v>7</v>
      </c>
      <c r="B7" s="1" t="s">
        <v>14</v>
      </c>
      <c r="C7" t="s">
        <v>5</v>
      </c>
      <c r="D7" s="2" t="s">
        <v>218</v>
      </c>
      <c r="E7">
        <f>D7/J7</f>
        <v>45.987569013860643</v>
      </c>
      <c r="I7" s="1" t="s">
        <v>14</v>
      </c>
      <c r="J7">
        <v>4.32</v>
      </c>
    </row>
    <row r="8" spans="1:15" x14ac:dyDescent="0.25">
      <c r="A8" s="1" t="s">
        <v>7</v>
      </c>
      <c r="B8" s="1" t="s">
        <v>58</v>
      </c>
      <c r="C8" t="s">
        <v>5</v>
      </c>
      <c r="D8" s="2" t="s">
        <v>214</v>
      </c>
      <c r="E8">
        <f t="shared" ref="E8:E11" si="1">D8/J8</f>
        <v>44.261379998409097</v>
      </c>
      <c r="I8" s="1" t="s">
        <v>58</v>
      </c>
      <c r="J8">
        <v>10.176</v>
      </c>
    </row>
    <row r="9" spans="1:15" x14ac:dyDescent="0.25">
      <c r="A9" s="1" t="s">
        <v>7</v>
      </c>
      <c r="B9" t="s">
        <v>59</v>
      </c>
      <c r="C9" t="s">
        <v>5</v>
      </c>
      <c r="D9" s="1">
        <v>743.74360572604303</v>
      </c>
      <c r="E9">
        <f t="shared" si="1"/>
        <v>42.802923902281478</v>
      </c>
      <c r="I9" t="s">
        <v>59</v>
      </c>
      <c r="J9">
        <v>17.376000000000001</v>
      </c>
    </row>
    <row r="10" spans="1:15" x14ac:dyDescent="0.25">
      <c r="A10" s="1" t="s">
        <v>7</v>
      </c>
      <c r="B10" t="s">
        <v>60</v>
      </c>
      <c r="C10" t="s">
        <v>5</v>
      </c>
      <c r="D10" s="2" t="s">
        <v>207</v>
      </c>
      <c r="E10">
        <f t="shared" si="1"/>
        <v>39.790825743614228</v>
      </c>
      <c r="I10" t="s">
        <v>60</v>
      </c>
      <c r="J10">
        <v>25.632000000000001</v>
      </c>
    </row>
    <row r="11" spans="1:15" x14ac:dyDescent="0.25">
      <c r="A11" s="1" t="s">
        <v>7</v>
      </c>
      <c r="B11" t="s">
        <v>61</v>
      </c>
      <c r="C11" t="s">
        <v>5</v>
      </c>
      <c r="D11" s="2" t="s">
        <v>203</v>
      </c>
      <c r="E11">
        <f t="shared" si="1"/>
        <v>34.704858918008497</v>
      </c>
      <c r="I11" t="s">
        <v>61</v>
      </c>
      <c r="J11">
        <v>42.143999999999998</v>
      </c>
    </row>
    <row r="12" spans="1:15" x14ac:dyDescent="0.25">
      <c r="A12" t="s">
        <v>6</v>
      </c>
      <c r="B12" s="1" t="s">
        <v>14</v>
      </c>
      <c r="C12" t="s">
        <v>5</v>
      </c>
      <c r="D12" s="2" t="s">
        <v>23</v>
      </c>
      <c r="E12">
        <f t="shared" ref="E7:E52" si="2">D12/J12</f>
        <v>62.246433339000234</v>
      </c>
      <c r="G12" s="2"/>
      <c r="H12" s="2"/>
      <c r="I12" s="1" t="s">
        <v>14</v>
      </c>
      <c r="J12">
        <v>4.32</v>
      </c>
    </row>
    <row r="13" spans="1:15" x14ac:dyDescent="0.25">
      <c r="A13" t="s">
        <v>6</v>
      </c>
      <c r="B13" s="1" t="s">
        <v>58</v>
      </c>
      <c r="C13" t="s">
        <v>5</v>
      </c>
      <c r="D13" s="2" t="s">
        <v>27</v>
      </c>
      <c r="E13">
        <f t="shared" si="2"/>
        <v>58.704390732888555</v>
      </c>
      <c r="G13" s="2"/>
      <c r="H13" s="2"/>
      <c r="I13" s="1" t="s">
        <v>58</v>
      </c>
      <c r="J13">
        <v>10.176</v>
      </c>
      <c r="K13" s="2"/>
      <c r="N13" s="2"/>
      <c r="O13" s="2"/>
    </row>
    <row r="14" spans="1:15" x14ac:dyDescent="0.25">
      <c r="A14" t="s">
        <v>6</v>
      </c>
      <c r="B14" t="s">
        <v>59</v>
      </c>
      <c r="C14" t="s">
        <v>5</v>
      </c>
      <c r="D14" s="1">
        <v>930.32692783878394</v>
      </c>
      <c r="E14">
        <f t="shared" si="2"/>
        <v>53.540914355362794</v>
      </c>
      <c r="G14" s="2"/>
      <c r="H14" s="2"/>
      <c r="I14" t="s">
        <v>59</v>
      </c>
      <c r="J14">
        <v>17.376000000000001</v>
      </c>
      <c r="K14" s="2"/>
      <c r="L14" s="2"/>
      <c r="N14" s="2"/>
      <c r="O14" s="2"/>
    </row>
    <row r="15" spans="1:15" x14ac:dyDescent="0.25">
      <c r="A15" t="s">
        <v>6</v>
      </c>
      <c r="B15" t="s">
        <v>60</v>
      </c>
      <c r="C15" t="s">
        <v>5</v>
      </c>
      <c r="D15" s="2" t="s">
        <v>35</v>
      </c>
      <c r="E15">
        <f t="shared" si="2"/>
        <v>48.583990871523874</v>
      </c>
      <c r="G15" s="2"/>
      <c r="H15" s="2"/>
      <c r="I15" t="s">
        <v>60</v>
      </c>
      <c r="J15">
        <v>25.632000000000001</v>
      </c>
      <c r="K15" s="2"/>
      <c r="M15" s="2"/>
      <c r="N15" s="2"/>
      <c r="O15" s="2"/>
    </row>
    <row r="16" spans="1:15" x14ac:dyDescent="0.25">
      <c r="A16" t="s">
        <v>6</v>
      </c>
      <c r="B16" t="s">
        <v>61</v>
      </c>
      <c r="C16" t="s">
        <v>5</v>
      </c>
      <c r="D16" s="2" t="s">
        <v>40</v>
      </c>
      <c r="E16">
        <f t="shared" si="2"/>
        <v>39.05733613726391</v>
      </c>
      <c r="I16" t="s">
        <v>61</v>
      </c>
      <c r="J16">
        <v>42.143999999999998</v>
      </c>
      <c r="M16" s="2"/>
      <c r="N16" s="2"/>
      <c r="O16" s="2"/>
    </row>
    <row r="17" spans="1:15" x14ac:dyDescent="0.25">
      <c r="A17" t="s">
        <v>57</v>
      </c>
      <c r="B17" s="1" t="s">
        <v>14</v>
      </c>
      <c r="C17" t="s">
        <v>5</v>
      </c>
      <c r="D17" s="2" t="s">
        <v>113</v>
      </c>
      <c r="E17">
        <f t="shared" si="2"/>
        <v>81.406176882568502</v>
      </c>
      <c r="I17" s="1" t="s">
        <v>14</v>
      </c>
      <c r="J17">
        <v>4.32</v>
      </c>
      <c r="L17" s="2"/>
      <c r="M17" s="2"/>
      <c r="N17" s="2"/>
      <c r="O17" s="2"/>
    </row>
    <row r="18" spans="1:15" x14ac:dyDescent="0.25">
      <c r="A18" t="s">
        <v>57</v>
      </c>
      <c r="B18" s="1" t="s">
        <v>58</v>
      </c>
      <c r="C18" t="s">
        <v>5</v>
      </c>
      <c r="D18" s="2" t="s">
        <v>108</v>
      </c>
      <c r="E18">
        <f t="shared" si="2"/>
        <v>75.107614330049429</v>
      </c>
      <c r="I18" s="1" t="s">
        <v>58</v>
      </c>
      <c r="J18">
        <v>10.176</v>
      </c>
      <c r="L18" s="2"/>
      <c r="M18" s="2"/>
      <c r="N18" s="1"/>
      <c r="O18" s="2"/>
    </row>
    <row r="19" spans="1:15" x14ac:dyDescent="0.25">
      <c r="A19" t="s">
        <v>57</v>
      </c>
      <c r="B19" t="s">
        <v>59</v>
      </c>
      <c r="C19" t="s">
        <v>5</v>
      </c>
      <c r="D19" s="2" t="s">
        <v>93</v>
      </c>
      <c r="E19">
        <f t="shared" si="2"/>
        <v>73.067141622036701</v>
      </c>
      <c r="G19" s="2"/>
      <c r="H19" s="2"/>
      <c r="I19" t="s">
        <v>59</v>
      </c>
      <c r="J19">
        <v>17.376000000000001</v>
      </c>
      <c r="K19" s="2"/>
      <c r="L19" s="2"/>
      <c r="M19" s="2"/>
      <c r="N19" s="1"/>
      <c r="O19" s="2"/>
    </row>
    <row r="20" spans="1:15" x14ac:dyDescent="0.25">
      <c r="A20" t="s">
        <v>57</v>
      </c>
      <c r="B20" t="s">
        <v>60</v>
      </c>
      <c r="C20" t="s">
        <v>5</v>
      </c>
      <c r="D20" s="2" t="s">
        <v>103</v>
      </c>
      <c r="E20">
        <f t="shared" si="2"/>
        <v>66.909506141251555</v>
      </c>
      <c r="G20" s="2"/>
      <c r="H20" s="2"/>
      <c r="I20" t="s">
        <v>60</v>
      </c>
      <c r="J20">
        <v>25.632000000000001</v>
      </c>
      <c r="K20" s="2"/>
      <c r="M20" s="2"/>
      <c r="N20" s="2"/>
      <c r="O20" s="2"/>
    </row>
    <row r="21" spans="1:15" x14ac:dyDescent="0.25">
      <c r="A21" t="s">
        <v>57</v>
      </c>
      <c r="B21" t="s">
        <v>61</v>
      </c>
      <c r="C21" t="s">
        <v>5</v>
      </c>
      <c r="D21" s="2" t="s">
        <v>98</v>
      </c>
      <c r="E21">
        <f t="shared" si="2"/>
        <v>57.893484637367123</v>
      </c>
      <c r="G21" s="2"/>
      <c r="H21" s="2"/>
      <c r="I21" t="s">
        <v>61</v>
      </c>
      <c r="J21">
        <v>42.143999999999998</v>
      </c>
      <c r="K21" s="2"/>
      <c r="M21" s="2"/>
      <c r="N21" s="1"/>
      <c r="O21" s="2"/>
    </row>
    <row r="22" spans="1:15" x14ac:dyDescent="0.25">
      <c r="A22" t="s">
        <v>56</v>
      </c>
      <c r="B22" s="1" t="s">
        <v>14</v>
      </c>
      <c r="C22" t="s">
        <v>5</v>
      </c>
      <c r="D22">
        <v>432.41559999999998</v>
      </c>
      <c r="E22">
        <f t="shared" si="2"/>
        <v>100.09620370370369</v>
      </c>
      <c r="G22" s="2"/>
      <c r="H22" s="2"/>
      <c r="I22" s="1" t="s">
        <v>14</v>
      </c>
      <c r="J22">
        <v>4.32</v>
      </c>
      <c r="K22" s="2"/>
      <c r="M22" s="2"/>
      <c r="N22" s="2"/>
      <c r="O22" s="2"/>
    </row>
    <row r="23" spans="1:15" x14ac:dyDescent="0.25">
      <c r="A23" t="s">
        <v>56</v>
      </c>
      <c r="B23" s="1" t="s">
        <v>58</v>
      </c>
      <c r="C23" t="s">
        <v>5</v>
      </c>
      <c r="D23">
        <v>949.4769</v>
      </c>
      <c r="E23">
        <f t="shared" si="2"/>
        <v>93.305512971698107</v>
      </c>
      <c r="I23" s="1" t="s">
        <v>58</v>
      </c>
      <c r="J23">
        <v>10.176</v>
      </c>
      <c r="M23" s="2"/>
      <c r="N23" s="2"/>
      <c r="O23" s="2"/>
    </row>
    <row r="24" spans="1:15" x14ac:dyDescent="0.25">
      <c r="A24" t="s">
        <v>56</v>
      </c>
      <c r="B24" t="s">
        <v>59</v>
      </c>
      <c r="C24" t="s">
        <v>5</v>
      </c>
      <c r="D24">
        <v>1576.2992999999999</v>
      </c>
      <c r="E24">
        <f t="shared" si="2"/>
        <v>90.717040745856337</v>
      </c>
      <c r="I24" t="s">
        <v>59</v>
      </c>
      <c r="J24">
        <v>17.376000000000001</v>
      </c>
    </row>
    <row r="25" spans="1:15" x14ac:dyDescent="0.25">
      <c r="A25" t="s">
        <v>56</v>
      </c>
      <c r="B25" t="s">
        <v>60</v>
      </c>
      <c r="C25" t="s">
        <v>5</v>
      </c>
      <c r="D25">
        <v>2192.8779</v>
      </c>
      <c r="E25">
        <f t="shared" si="2"/>
        <v>85.552352528089884</v>
      </c>
      <c r="H25" s="2"/>
      <c r="I25" t="s">
        <v>60</v>
      </c>
      <c r="J25">
        <v>25.632000000000001</v>
      </c>
      <c r="K25" s="2"/>
    </row>
    <row r="26" spans="1:15" x14ac:dyDescent="0.25">
      <c r="A26" t="s">
        <v>56</v>
      </c>
      <c r="B26" t="s">
        <v>61</v>
      </c>
      <c r="C26" t="s">
        <v>5</v>
      </c>
      <c r="D26">
        <v>3317.6731</v>
      </c>
      <c r="E26">
        <f t="shared" si="2"/>
        <v>78.72231159832954</v>
      </c>
      <c r="H26" s="2"/>
      <c r="I26" t="s">
        <v>61</v>
      </c>
      <c r="J26">
        <v>42.143999999999998</v>
      </c>
      <c r="K26" s="2"/>
    </row>
    <row r="27" spans="1:15" x14ac:dyDescent="0.25">
      <c r="A27" s="1"/>
      <c r="B27" s="2"/>
      <c r="C27" s="2"/>
      <c r="H27" s="2"/>
      <c r="I27" s="2"/>
      <c r="J27" s="2"/>
      <c r="K27" s="2"/>
    </row>
    <row r="28" spans="1:15" x14ac:dyDescent="0.25">
      <c r="A28" s="1" t="s">
        <v>4</v>
      </c>
      <c r="B28" s="1" t="s">
        <v>14</v>
      </c>
      <c r="C28" s="2" t="s">
        <v>168</v>
      </c>
      <c r="D28" s="2" t="s">
        <v>118</v>
      </c>
      <c r="E28">
        <f>D28/J28</f>
        <v>87.804579426334953</v>
      </c>
      <c r="H28" s="2"/>
      <c r="I28" s="1" t="s">
        <v>14</v>
      </c>
      <c r="J28">
        <v>4.32</v>
      </c>
      <c r="K28" s="2"/>
    </row>
    <row r="29" spans="1:15" x14ac:dyDescent="0.25">
      <c r="A29" s="1" t="s">
        <v>4</v>
      </c>
      <c r="B29" s="1" t="s">
        <v>58</v>
      </c>
      <c r="C29" s="2" t="s">
        <v>168</v>
      </c>
      <c r="D29" s="2" t="s">
        <v>121</v>
      </c>
      <c r="E29">
        <f t="shared" ref="E29:E37" si="3">D29/J29</f>
        <v>82.870028218390928</v>
      </c>
      <c r="H29" s="2"/>
      <c r="I29" s="1" t="s">
        <v>58</v>
      </c>
      <c r="J29">
        <v>10.176</v>
      </c>
      <c r="K29" s="2"/>
    </row>
    <row r="30" spans="1:15" x14ac:dyDescent="0.25">
      <c r="A30" s="1" t="s">
        <v>4</v>
      </c>
      <c r="B30" t="s">
        <v>59</v>
      </c>
      <c r="C30" s="2" t="s">
        <v>168</v>
      </c>
      <c r="D30" s="2" t="s">
        <v>135</v>
      </c>
      <c r="E30">
        <f t="shared" si="3"/>
        <v>74.131137549290386</v>
      </c>
      <c r="H30" s="2"/>
      <c r="I30" t="s">
        <v>59</v>
      </c>
      <c r="J30">
        <v>17.376000000000001</v>
      </c>
      <c r="K30" s="2"/>
    </row>
    <row r="31" spans="1:15" x14ac:dyDescent="0.25">
      <c r="A31" s="1" t="s">
        <v>4</v>
      </c>
      <c r="B31" t="s">
        <v>60</v>
      </c>
      <c r="C31" s="2" t="s">
        <v>168</v>
      </c>
      <c r="D31" s="2" t="s">
        <v>126</v>
      </c>
      <c r="E31">
        <f t="shared" si="3"/>
        <v>64.281720582878435</v>
      </c>
      <c r="H31" s="2"/>
      <c r="I31" t="s">
        <v>60</v>
      </c>
      <c r="J31">
        <v>25.632000000000001</v>
      </c>
      <c r="K31" s="2"/>
    </row>
    <row r="32" spans="1:15" x14ac:dyDescent="0.25">
      <c r="A32" s="1" t="s">
        <v>4</v>
      </c>
      <c r="B32" t="s">
        <v>61</v>
      </c>
      <c r="C32" s="2" t="s">
        <v>168</v>
      </c>
      <c r="D32" s="2" t="s">
        <v>131</v>
      </c>
      <c r="E32">
        <f t="shared" si="3"/>
        <v>52.619272841946668</v>
      </c>
      <c r="H32" s="2"/>
      <c r="I32" t="s">
        <v>61</v>
      </c>
      <c r="J32">
        <v>42.143999999999998</v>
      </c>
      <c r="K32" s="2"/>
    </row>
    <row r="33" spans="1:11" x14ac:dyDescent="0.25">
      <c r="A33" s="1" t="s">
        <v>7</v>
      </c>
      <c r="B33" s="1" t="s">
        <v>14</v>
      </c>
      <c r="C33" s="2" t="s">
        <v>168</v>
      </c>
      <c r="D33" s="2" t="s">
        <v>226</v>
      </c>
      <c r="E33">
        <f t="shared" si="3"/>
        <v>44.501526033027083</v>
      </c>
      <c r="H33" s="2"/>
      <c r="I33" s="1" t="s">
        <v>14</v>
      </c>
      <c r="J33">
        <v>4.32</v>
      </c>
      <c r="K33" s="2"/>
    </row>
    <row r="34" spans="1:11" x14ac:dyDescent="0.25">
      <c r="A34" s="1" t="s">
        <v>7</v>
      </c>
      <c r="B34" s="1" t="s">
        <v>58</v>
      </c>
      <c r="C34" s="2" t="s">
        <v>168</v>
      </c>
      <c r="D34" s="2" t="s">
        <v>222</v>
      </c>
      <c r="E34">
        <f t="shared" si="3"/>
        <v>42.797798527807487</v>
      </c>
      <c r="H34" s="2"/>
      <c r="I34" s="1" t="s">
        <v>58</v>
      </c>
      <c r="J34">
        <v>10.176</v>
      </c>
      <c r="K34" s="2"/>
    </row>
    <row r="35" spans="1:11" x14ac:dyDescent="0.25">
      <c r="A35" s="1" t="s">
        <v>7</v>
      </c>
      <c r="B35" t="s">
        <v>59</v>
      </c>
      <c r="C35" s="2" t="s">
        <v>168</v>
      </c>
      <c r="D35" s="2" t="s">
        <v>230</v>
      </c>
      <c r="E35">
        <f t="shared" si="3"/>
        <v>41.604323773726577</v>
      </c>
      <c r="I35" t="s">
        <v>59</v>
      </c>
      <c r="J35">
        <v>17.376000000000001</v>
      </c>
    </row>
    <row r="36" spans="1:11" x14ac:dyDescent="0.25">
      <c r="A36" s="1" t="s">
        <v>7</v>
      </c>
      <c r="B36" t="s">
        <v>60</v>
      </c>
      <c r="C36" s="2" t="s">
        <v>168</v>
      </c>
      <c r="D36" s="2" t="s">
        <v>234</v>
      </c>
      <c r="E36">
        <f t="shared" si="3"/>
        <v>37.993774105010608</v>
      </c>
      <c r="I36" t="s">
        <v>60</v>
      </c>
      <c r="J36">
        <v>25.632000000000001</v>
      </c>
    </row>
    <row r="37" spans="1:11" x14ac:dyDescent="0.25">
      <c r="A37" s="1" t="s">
        <v>7</v>
      </c>
      <c r="B37" t="s">
        <v>61</v>
      </c>
      <c r="C37" s="2" t="s">
        <v>168</v>
      </c>
      <c r="D37" s="2" t="s">
        <v>237</v>
      </c>
      <c r="E37">
        <f t="shared" si="3"/>
        <v>32.545857606661684</v>
      </c>
      <c r="I37" t="s">
        <v>61</v>
      </c>
      <c r="J37">
        <v>42.143999999999998</v>
      </c>
    </row>
    <row r="38" spans="1:11" x14ac:dyDescent="0.25">
      <c r="A38" t="s">
        <v>6</v>
      </c>
      <c r="B38" s="1" t="s">
        <v>14</v>
      </c>
      <c r="C38" s="2" t="s">
        <v>168</v>
      </c>
      <c r="D38" s="2" t="s">
        <v>140</v>
      </c>
      <c r="E38">
        <f t="shared" si="2"/>
        <v>58.764601563095368</v>
      </c>
      <c r="I38" s="1" t="s">
        <v>14</v>
      </c>
      <c r="J38">
        <v>4.32</v>
      </c>
    </row>
    <row r="39" spans="1:11" x14ac:dyDescent="0.25">
      <c r="A39" t="s">
        <v>6</v>
      </c>
      <c r="B39" s="1" t="s">
        <v>58</v>
      </c>
      <c r="C39" s="2" t="s">
        <v>168</v>
      </c>
      <c r="D39" s="2" t="s">
        <v>144</v>
      </c>
      <c r="E39">
        <f t="shared" si="2"/>
        <v>55.886791533863992</v>
      </c>
      <c r="I39" s="1" t="s">
        <v>58</v>
      </c>
      <c r="J39">
        <v>10.176</v>
      </c>
    </row>
    <row r="40" spans="1:11" x14ac:dyDescent="0.25">
      <c r="A40" t="s">
        <v>6</v>
      </c>
      <c r="B40" t="s">
        <v>59</v>
      </c>
      <c r="C40" s="2" t="s">
        <v>168</v>
      </c>
      <c r="D40" s="2" t="s">
        <v>159</v>
      </c>
      <c r="E40">
        <f t="shared" si="2"/>
        <v>51.837280636112219</v>
      </c>
      <c r="I40" t="s">
        <v>59</v>
      </c>
      <c r="J40">
        <v>17.376000000000001</v>
      </c>
    </row>
    <row r="41" spans="1:11" x14ac:dyDescent="0.25">
      <c r="A41" t="s">
        <v>6</v>
      </c>
      <c r="B41" t="s">
        <v>60</v>
      </c>
      <c r="C41" s="2" t="s">
        <v>168</v>
      </c>
      <c r="D41" s="2" t="s">
        <v>149</v>
      </c>
      <c r="E41">
        <f t="shared" si="2"/>
        <v>46.568328151763026</v>
      </c>
      <c r="I41" t="s">
        <v>60</v>
      </c>
      <c r="J41">
        <v>25.632000000000001</v>
      </c>
    </row>
    <row r="42" spans="1:11" x14ac:dyDescent="0.25">
      <c r="A42" t="s">
        <v>6</v>
      </c>
      <c r="B42" t="s">
        <v>61</v>
      </c>
      <c r="C42" s="2" t="s">
        <v>168</v>
      </c>
      <c r="D42" s="2" t="s">
        <v>154</v>
      </c>
      <c r="E42">
        <f t="shared" si="2"/>
        <v>36.943621635691201</v>
      </c>
      <c r="I42" t="s">
        <v>61</v>
      </c>
      <c r="J42">
        <v>42.143999999999998</v>
      </c>
    </row>
    <row r="43" spans="1:11" x14ac:dyDescent="0.25">
      <c r="A43" t="s">
        <v>57</v>
      </c>
      <c r="B43" s="1" t="s">
        <v>14</v>
      </c>
      <c r="C43" s="2" t="s">
        <v>168</v>
      </c>
      <c r="D43" s="2" t="s">
        <v>73</v>
      </c>
      <c r="E43">
        <f t="shared" si="2"/>
        <v>81.15205881193819</v>
      </c>
      <c r="I43" s="1" t="s">
        <v>14</v>
      </c>
      <c r="J43">
        <v>4.32</v>
      </c>
    </row>
    <row r="44" spans="1:11" x14ac:dyDescent="0.25">
      <c r="A44" t="s">
        <v>57</v>
      </c>
      <c r="B44" s="1" t="s">
        <v>58</v>
      </c>
      <c r="C44" s="2" t="s">
        <v>168</v>
      </c>
      <c r="D44" s="2" t="s">
        <v>68</v>
      </c>
      <c r="E44">
        <f t="shared" si="2"/>
        <v>76.324582662645739</v>
      </c>
      <c r="I44" s="1" t="s">
        <v>58</v>
      </c>
      <c r="J44">
        <v>10.176</v>
      </c>
    </row>
    <row r="45" spans="1:11" x14ac:dyDescent="0.25">
      <c r="A45" t="s">
        <v>57</v>
      </c>
      <c r="B45" t="s">
        <v>59</v>
      </c>
      <c r="C45" s="2" t="s">
        <v>168</v>
      </c>
      <c r="D45" s="2" t="s">
        <v>78</v>
      </c>
      <c r="E45">
        <f t="shared" si="2"/>
        <v>72.049280192692223</v>
      </c>
      <c r="I45" t="s">
        <v>59</v>
      </c>
      <c r="J45">
        <v>17.376000000000001</v>
      </c>
    </row>
    <row r="46" spans="1:11" x14ac:dyDescent="0.25">
      <c r="A46" t="s">
        <v>57</v>
      </c>
      <c r="B46" t="s">
        <v>60</v>
      </c>
      <c r="C46" s="2" t="s">
        <v>168</v>
      </c>
      <c r="D46" s="2" t="s">
        <v>83</v>
      </c>
      <c r="E46">
        <f t="shared" si="2"/>
        <v>66.292272977924853</v>
      </c>
      <c r="I46" t="s">
        <v>60</v>
      </c>
      <c r="J46">
        <v>25.632000000000001</v>
      </c>
    </row>
    <row r="47" spans="1:11" x14ac:dyDescent="0.25">
      <c r="A47" t="s">
        <v>57</v>
      </c>
      <c r="B47" t="s">
        <v>61</v>
      </c>
      <c r="C47" s="2" t="s">
        <v>168</v>
      </c>
      <c r="D47" s="2" t="s">
        <v>88</v>
      </c>
      <c r="E47">
        <f t="shared" si="2"/>
        <v>56.551254038762337</v>
      </c>
      <c r="I47" t="s">
        <v>61</v>
      </c>
      <c r="J47">
        <v>42.143999999999998</v>
      </c>
    </row>
    <row r="48" spans="1:11" x14ac:dyDescent="0.25">
      <c r="A48" t="s">
        <v>56</v>
      </c>
      <c r="B48" s="1" t="s">
        <v>14</v>
      </c>
      <c r="C48" s="2" t="s">
        <v>168</v>
      </c>
      <c r="D48">
        <v>388.02140000000003</v>
      </c>
      <c r="E48">
        <f t="shared" si="2"/>
        <v>89.819768518518515</v>
      </c>
      <c r="I48" s="1" t="s">
        <v>14</v>
      </c>
      <c r="J48">
        <v>4.32</v>
      </c>
    </row>
    <row r="49" spans="1:10" x14ac:dyDescent="0.25">
      <c r="A49" t="s">
        <v>56</v>
      </c>
      <c r="B49" s="1" t="s">
        <v>58</v>
      </c>
      <c r="C49" s="2" t="s">
        <v>168</v>
      </c>
      <c r="D49">
        <v>876.76229999999998</v>
      </c>
      <c r="E49">
        <f t="shared" si="2"/>
        <v>86.159817216981125</v>
      </c>
      <c r="I49" s="1" t="s">
        <v>58</v>
      </c>
      <c r="J49">
        <v>10.176</v>
      </c>
    </row>
    <row r="50" spans="1:10" x14ac:dyDescent="0.25">
      <c r="A50" t="s">
        <v>56</v>
      </c>
      <c r="B50" t="s">
        <v>59</v>
      </c>
      <c r="C50" s="2" t="s">
        <v>168</v>
      </c>
      <c r="D50">
        <v>1459.4879000000001</v>
      </c>
      <c r="E50">
        <f t="shared" si="2"/>
        <v>83.994469383057094</v>
      </c>
      <c r="I50" t="s">
        <v>59</v>
      </c>
      <c r="J50">
        <v>17.376000000000001</v>
      </c>
    </row>
    <row r="51" spans="1:10" x14ac:dyDescent="0.25">
      <c r="A51" t="s">
        <v>56</v>
      </c>
      <c r="B51" t="s">
        <v>60</v>
      </c>
      <c r="C51" s="2" t="s">
        <v>168</v>
      </c>
      <c r="D51">
        <v>2022.8336999999999</v>
      </c>
      <c r="E51">
        <f t="shared" si="2"/>
        <v>78.91829353932583</v>
      </c>
      <c r="I51" t="s">
        <v>60</v>
      </c>
      <c r="J51">
        <v>25.632000000000001</v>
      </c>
    </row>
    <row r="52" spans="1:10" x14ac:dyDescent="0.25">
      <c r="A52" t="s">
        <v>56</v>
      </c>
      <c r="B52" t="s">
        <v>61</v>
      </c>
      <c r="C52" s="2" t="s">
        <v>168</v>
      </c>
      <c r="D52">
        <v>3090.5210999999999</v>
      </c>
      <c r="E52">
        <f t="shared" si="2"/>
        <v>73.33241030751708</v>
      </c>
      <c r="I52" t="s">
        <v>61</v>
      </c>
      <c r="J52">
        <v>42.143999999999998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throughtput</vt:lpstr>
      <vt:lpstr>capacity gain</vt:lpstr>
      <vt:lpstr>wavelength_utilization</vt:lpstr>
      <vt:lpstr>normalized(bpsTHz)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a37129</dc:creator>
  <cp:lastModifiedBy>Bohua Deng</cp:lastModifiedBy>
  <dcterms:created xsi:type="dcterms:W3CDTF">2026-04-06T09:12:38Z</dcterms:created>
  <dcterms:modified xsi:type="dcterms:W3CDTF">2026-04-20T09:53:04Z</dcterms:modified>
</cp:coreProperties>
</file>