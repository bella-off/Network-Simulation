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M:\pycharm_projects\network_simulations\thesis\throughput_upperbound\simulations\data\"/>
    </mc:Choice>
  </mc:AlternateContent>
  <xr:revisionPtr revIDLastSave="0" documentId="13_ncr:1_{B0D43DF9-6F70-418B-97A3-F96E0F061CCD}" xr6:coauthVersionLast="47" xr6:coauthVersionMax="47" xr10:uidLastSave="{00000000-0000-0000-0000-000000000000}"/>
  <bookViews>
    <workbookView xWindow="-110" yWindow="-110" windowWidth="19420" windowHeight="10300" firstSheet="1" activeTab="1" xr2:uid="{721E2542-CFD3-F545-91FB-44EA0C7E0544}"/>
  </bookViews>
  <sheets>
    <sheet name="Sheet1" sheetId="1" r:id="rId1"/>
    <sheet name="throughtput" sheetId="2" r:id="rId2"/>
    <sheet name="capacity gain" sheetId="3" r:id="rId3"/>
    <sheet name="wavelength_utilization" sheetId="4" r:id="rId4"/>
    <sheet name="normalized(bpsTHz)" sheetId="5" r:id="rId5"/>
    <sheet name="Sheet6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" i="2" l="1"/>
  <c r="N18" i="2"/>
  <c r="N19" i="2"/>
  <c r="N20" i="2"/>
  <c r="N21" i="2"/>
  <c r="N22" i="2"/>
  <c r="N23" i="2"/>
  <c r="N24" i="2"/>
  <c r="N25" i="2"/>
  <c r="M17" i="2"/>
  <c r="M18" i="2"/>
  <c r="M19" i="2"/>
  <c r="M20" i="2"/>
  <c r="M21" i="2"/>
  <c r="M22" i="2"/>
  <c r="M23" i="2"/>
  <c r="M24" i="2"/>
  <c r="M25" i="2"/>
  <c r="L17" i="2"/>
  <c r="L18" i="2"/>
  <c r="L19" i="2"/>
  <c r="L20" i="2"/>
  <c r="L21" i="2"/>
  <c r="L22" i="2"/>
  <c r="L23" i="2"/>
  <c r="L24" i="2"/>
  <c r="L25" i="2"/>
  <c r="K18" i="2"/>
  <c r="K19" i="2"/>
  <c r="K20" i="2"/>
  <c r="K21" i="2"/>
  <c r="K22" i="2"/>
  <c r="K23" i="2"/>
  <c r="K24" i="2"/>
  <c r="K25" i="2"/>
  <c r="K17" i="2"/>
  <c r="K1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3" i="2"/>
  <c r="K4" i="2"/>
  <c r="K5" i="2"/>
  <c r="K6" i="2"/>
  <c r="K7" i="2"/>
  <c r="K8" i="2"/>
  <c r="K9" i="2"/>
  <c r="K10" i="2"/>
  <c r="K11" i="2"/>
  <c r="K12" i="2"/>
  <c r="K14" i="2"/>
  <c r="K15" i="2"/>
  <c r="K16" i="2"/>
  <c r="K3" i="2"/>
</calcChain>
</file>

<file path=xl/sharedStrings.xml><?xml version="1.0" encoding="utf-8"?>
<sst xmlns="http://schemas.openxmlformats.org/spreadsheetml/2006/main" count="439" uniqueCount="224">
  <si>
    <t>source_id</t>
  </si>
  <si>
    <t>topology</t>
  </si>
  <si>
    <t>route_function</t>
  </si>
  <si>
    <t>C</t>
    <phoneticPr fontId="1" type="noConversion"/>
  </si>
  <si>
    <t>CL</t>
    <phoneticPr fontId="1" type="noConversion"/>
  </si>
  <si>
    <t>SCL</t>
    <phoneticPr fontId="1" type="noConversion"/>
  </si>
  <si>
    <t>ESCL</t>
    <phoneticPr fontId="1" type="noConversion"/>
  </si>
  <si>
    <t>696a7016730f908b27b5c16a</t>
  </si>
  <si>
    <t>DTAG</t>
  </si>
  <si>
    <t>kSP-FF</t>
  </si>
  <si>
    <t>1021.3802117459522</t>
  </si>
  <si>
    <t>1238.770034573563</t>
  </si>
  <si>
    <t>997.0142876465583</t>
  </si>
  <si>
    <t>1214.2581817074843</t>
  </si>
  <si>
    <t>947.9328372012544</t>
  </si>
  <si>
    <t>1169.9225329722015</t>
  </si>
  <si>
    <t>881.5894924043295</t>
  </si>
  <si>
    <t>1108.8330544711237</t>
  </si>
  <si>
    <t>1036.4965118858677</t>
  </si>
  <si>
    <t>69c8ec7985221d4007562537</t>
  </si>
  <si>
    <t>JPN25</t>
  </si>
  <si>
    <t>193.21085827319772</t>
  </si>
  <si>
    <t>707.1126560716992</t>
  </si>
  <si>
    <t>920.5998456917393</t>
  </si>
  <si>
    <t>171.97092945725586</t>
  </si>
  <si>
    <t>343.74468036187676</t>
  </si>
  <si>
    <t>642.2539399340584</t>
  </si>
  <si>
    <t>857.8624742562113</t>
  </si>
  <si>
    <t>154.96120485604547</t>
  </si>
  <si>
    <t>308.5664323331308</t>
  </si>
  <si>
    <t>588.9681261926196</t>
  </si>
  <si>
    <t>802.8828104125001</t>
  </si>
  <si>
    <t>139.7517264062103</t>
  </si>
  <si>
    <t>276.90710866895887</t>
  </si>
  <si>
    <t>537.9921944869658</t>
  </si>
  <si>
    <t>748.3344742385555</t>
  </si>
  <si>
    <t>123.34340543213935</t>
  </si>
  <si>
    <t>243.53944123308634</t>
  </si>
  <si>
    <t>482.48921364160634</t>
  </si>
  <si>
    <t>686.6387879690469</t>
  </si>
  <si>
    <t>5fbd059d6648f5626a4b9a4b</t>
  </si>
  <si>
    <t>NSFNET</t>
  </si>
  <si>
    <t>370.5852238759672</t>
  </si>
  <si>
    <t>816.6206478979335</t>
  </si>
  <si>
    <t>1394.178126621087</t>
  </si>
  <si>
    <t>1915.7070560010168</t>
  </si>
  <si>
    <t>340.1703842892714</t>
  </si>
  <si>
    <t>753.4480409965057</t>
  </si>
  <si>
    <t>1290.4531247610382</t>
  </si>
  <si>
    <t>1789.218917612528</t>
  </si>
  <si>
    <t>317.88035828669445</t>
    <phoneticPr fontId="1" type="noConversion"/>
  </si>
  <si>
    <t>706.1751093262421</t>
  </si>
  <si>
    <t>1211.5519188138762</t>
  </si>
  <si>
    <t>1690.285400331317</t>
  </si>
  <si>
    <t>300.67636929174023</t>
  </si>
  <si>
    <t>1149.2659302662673</t>
  </si>
  <si>
    <t>1610.7583855712735</t>
  </si>
  <si>
    <t>285.2941394297327</t>
  </si>
  <si>
    <t>635.6550878397303</t>
  </si>
  <si>
    <t>69c970b5211e79784e6b7434</t>
  </si>
  <si>
    <t>RegularDCI</t>
  </si>
  <si>
    <t>158.0432723503455</t>
  </si>
  <si>
    <t>990.5046954445352</t>
  </si>
  <si>
    <t>133.64442585217384</t>
  </si>
  <si>
    <t>297.69625835717073</t>
  </si>
  <si>
    <t>901.3735401664821</t>
  </si>
  <si>
    <t>118.60691943501082</t>
  </si>
  <si>
    <t>262.69627489547287</t>
  </si>
  <si>
    <t>839.6737106582261</t>
  </si>
  <si>
    <t>107.83686727188817</t>
  </si>
  <si>
    <t>237.69691608675535</t>
  </si>
  <si>
    <t>792.1122116870473</t>
  </si>
  <si>
    <t>5fbf809aedc2f6461badeb2d</t>
  </si>
  <si>
    <t>187.5394848109661</t>
  </si>
  <si>
    <t>147.1408561236687</t>
  </si>
  <si>
    <t>122.5759672824306</t>
  </si>
  <si>
    <t>106.61360427092633</t>
  </si>
  <si>
    <t>92.54232998689378</t>
  </si>
  <si>
    <t>scale</t>
  </si>
  <si>
    <t>646.8545528037944</t>
  </si>
  <si>
    <t>562.7550536682767</t>
  </si>
  <si>
    <t>508.35825758977984</t>
  </si>
  <si>
    <t>468.2608202116327</t>
  </si>
  <si>
    <t>OESCL</t>
    <phoneticPr fontId="1" type="noConversion"/>
  </si>
  <si>
    <t>2214.5648 Tbps</t>
  </si>
  <si>
    <t>Nobel-EU</t>
    <phoneticPr fontId="1" type="noConversion"/>
  </si>
  <si>
    <t>Germany50</t>
    <phoneticPr fontId="1" type="noConversion"/>
  </si>
  <si>
    <t>Germany51</t>
  </si>
  <si>
    <t>Germany52</t>
  </si>
  <si>
    <t>Germany53</t>
  </si>
  <si>
    <t>COST266</t>
    <phoneticPr fontId="1" type="noConversion"/>
  </si>
  <si>
    <t>COST267</t>
  </si>
  <si>
    <t>COST268</t>
  </si>
  <si>
    <t>COST269</t>
  </si>
  <si>
    <t>COST270</t>
  </si>
  <si>
    <t>382.34912554405014</t>
  </si>
  <si>
    <t>372.02342364925295</t>
  </si>
  <si>
    <t>354.83885939948686</t>
  </si>
  <si>
    <t>347.5092263853363</t>
  </si>
  <si>
    <t>C</t>
  </si>
  <si>
    <t>1665.0622829679644</t>
  </si>
  <si>
    <t>1573.2510603043515</t>
  </si>
  <si>
    <t>1503.4816065033765</t>
  </si>
  <si>
    <t>1446.4955571519997</t>
  </si>
  <si>
    <t>1398.1200294578134</t>
  </si>
  <si>
    <t>1118.4179486263188</t>
  </si>
  <si>
    <t>1077.5293018691418</t>
  </si>
  <si>
    <t>1042.8695284128924</t>
  </si>
  <si>
    <t>1012.7477833824935</t>
  </si>
  <si>
    <t>986.0975219214944</t>
  </si>
  <si>
    <t>759.3801904518725</t>
  </si>
  <si>
    <t>720.5895676552916</t>
  </si>
  <si>
    <t>487.44219299443205</t>
  </si>
  <si>
    <t>472.3525190650149</t>
  </si>
  <si>
    <t>459.23263871463445</t>
  </si>
  <si>
    <t>447.6245727906842</t>
  </si>
  <si>
    <t>437.2154468735872</t>
  </si>
  <si>
    <t>215.86687127829794</t>
  </si>
  <si>
    <t>208.79881816396278</t>
  </si>
  <si>
    <t>202.72229116770973</t>
  </si>
  <si>
    <t>197.39468981169395</t>
  </si>
  <si>
    <t>192.65287468263224</t>
  </si>
  <si>
    <t>362.23516804951043</t>
  </si>
  <si>
    <t>327.3157360954746</t>
  </si>
  <si>
    <t>302.8784989071464</t>
  </si>
  <si>
    <t>284.10749151523845</t>
  </si>
  <si>
    <t>268.9045920244814</t>
  </si>
  <si>
    <t>804.8687365042929</t>
  </si>
  <si>
    <t>728.0392463768852</t>
  </si>
  <si>
    <t>631.5815203571887</t>
  </si>
  <si>
    <t>597.3758800978744</t>
  </si>
  <si>
    <t>1281.556835915503</t>
  </si>
  <si>
    <t>1148.7100372452744</t>
  </si>
  <si>
    <t>1056.8356378815238</t>
  </si>
  <si>
    <t>1745.1507432343576</t>
  </si>
  <si>
    <t>1553.8564556427393</t>
  </si>
  <si>
    <t>1423.1953190737242</t>
  </si>
  <si>
    <t>1324.3738983920534</t>
  </si>
  <si>
    <t>1245.3048540189093</t>
  </si>
  <si>
    <t>2431.3842814799536</t>
  </si>
  <si>
    <t>2115.184765223804</t>
  </si>
  <si>
    <t>1911.710442773642</t>
  </si>
  <si>
    <t>1762.710294223332</t>
  </si>
  <si>
    <t>1646.0323741688537</t>
  </si>
  <si>
    <t>1304.9507944079542</t>
  </si>
  <si>
    <t>1264.566138840693</t>
  </si>
  <si>
    <t>1229.731792019321</t>
  </si>
  <si>
    <t>1199.023047687031</t>
  </si>
  <si>
    <t>1171.5242127603356</t>
  </si>
  <si>
    <t>2588.980349127486</t>
  </si>
  <si>
    <t>2462.9089756311264</t>
  </si>
  <si>
    <t>2365.0787636116816</t>
  </si>
  <si>
    <t>2284.067652906382</t>
  </si>
  <si>
    <t>2214.5648202360144</t>
  </si>
  <si>
    <t>1452.0027469187191</t>
  </si>
  <si>
    <t>1405.4274933564984</t>
  </si>
  <si>
    <t>1365.3868350744833</t>
  </si>
  <si>
    <t>1330.1804751752052</t>
  </si>
  <si>
    <t>1298.7214310508803</t>
  </si>
  <si>
    <t>798.8750198546984</t>
  </si>
  <si>
    <t>777.4652647815791</t>
  </si>
  <si>
    <t>758.5530426007679</t>
  </si>
  <si>
    <t>741.5943597516389</t>
  </si>
  <si>
    <t>726.2115219596598</t>
  </si>
  <si>
    <t>LondonDCI</t>
  </si>
  <si>
    <t>BT22</t>
  </si>
  <si>
    <t>NaN</t>
  </si>
  <si>
    <t>CL</t>
  </si>
  <si>
    <t>SCL</t>
  </si>
  <si>
    <t>ESCL</t>
  </si>
  <si>
    <t>OESCL</t>
  </si>
  <si>
    <t>average</t>
  </si>
  <si>
    <t>KSP-FF</t>
  </si>
  <si>
    <t>RWA</t>
  </si>
  <si>
    <t>844.8705568662297</t>
  </si>
  <si>
    <t>825.2340162886196</t>
  </si>
  <si>
    <t>807.5646329961356</t>
  </si>
  <si>
    <t>791.4714161909801</t>
  </si>
  <si>
    <t>776.6789531750832</t>
  </si>
  <si>
    <t>380.65924712737876</t>
  </si>
  <si>
    <t>372.0021158960573</t>
  </si>
  <si>
    <t>364.2059532058853</t>
  </si>
  <si>
    <t>357.1039549180098</t>
  </si>
  <si>
    <t>350.57689406757333</t>
  </si>
  <si>
    <t>1376.6118189505767</t>
  </si>
  <si>
    <t>1340.0644158775688</t>
  </si>
  <si>
    <t>1307.6561843294758</t>
  </si>
  <si>
    <t>1278.484161973787</t>
  </si>
  <si>
    <t>1251.928292628225</t>
  </si>
  <si>
    <t>1882.2642488720708</t>
  </si>
  <si>
    <t>1828.3036658017324</t>
  </si>
  <si>
    <t>1780.665810003591</t>
  </si>
  <si>
    <t>1737.9519357942545</t>
  </si>
  <si>
    <t>1699.2035409701768</t>
  </si>
  <si>
    <t>2783.0519660468076</t>
  </si>
  <si>
    <t>2649.621414589029</t>
  </si>
  <si>
    <t>2545.1493159000424</t>
  </si>
  <si>
    <t>2458.189048086549</t>
  </si>
  <si>
    <t>2383.2960502096007</t>
  </si>
  <si>
    <t>1390.2550575786097</t>
  </si>
  <si>
    <t>1354.9473105313014</t>
  </si>
  <si>
    <t>1323.6007300539213</t>
  </si>
  <si>
    <t>1295.3537670650264</t>
  </si>
  <si>
    <t>1269.6146528245167</t>
  </si>
  <si>
    <t>2815.1351704315675</t>
  </si>
  <si>
    <t>2690.9930400362073</t>
  </si>
  <si>
    <t>2593.0297075355975</t>
  </si>
  <si>
    <t>2510.9441486047126</t>
  </si>
  <si>
    <t>2439.8630165572004</t>
  </si>
  <si>
    <t>1892.7941214304612</t>
  </si>
  <si>
    <t>1840.282471286778</t>
  </si>
  <si>
    <t>1794.0186365530467</t>
  </si>
  <si>
    <t>1752.5856367446452</t>
  </si>
  <si>
    <t>1715.024461412563</t>
  </si>
  <si>
    <t>829.1527547545071</t>
  </si>
  <si>
    <t>810.5264810638438</t>
  </si>
  <si>
    <t>793.7243035045968</t>
  </si>
  <si>
    <t>778.3975855848496</t>
  </si>
  <si>
    <t>764.2950834225832</t>
  </si>
  <si>
    <t>382.50504420645046</t>
  </si>
  <si>
    <t>373.56482770076883</t>
  </si>
  <si>
    <t>365.5641635047916</t>
  </si>
  <si>
    <t>358.3123207330978</t>
  </si>
  <si>
    <t>351.67468413269694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</si>
</sst>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charset val="134"/>
      <scheme val="minor"/>
    </font>
    <font>
      <sz val="9"/>
      <name val="Aptos Narrow"/>
      <family val="2"/>
      <charset val="134"/>
      <scheme val="minor"/>
    </font>
    <font>
      <sz val="12"/>
      <color rgb="FF000000"/>
      <name val="Aptos Narrow"/>
      <family val="4"/>
      <charset val="134"/>
      <scheme val="minor"/>
    </font>
    <font>
      <sz val="12"/>
      <color theme="1"/>
      <name val="Times New Roman"/>
      <family val="1"/>
    </font>
    <font>
      <sz val="12"/>
      <color theme="1"/>
      <name val="SimSun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0" xfId="0" quotePrefix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0" fillId="0" borderId="0" xfId="0" applyAlignment="1"/>
    <xf numFmtId="0" fontId="0" fillId="0" borderId="0" xfId="0" quotePrefix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F4B0C-9507-E249-A113-0DF333AC8007}">
  <dimension ref="A1:K38"/>
  <sheetViews>
    <sheetView workbookViewId="0">
      <selection activeCell="C1" sqref="C1:C16"/>
    </sheetView>
  </sheetViews>
  <sheetFormatPr defaultColWidth="10.6640625" defaultRowHeight="15" x14ac:dyDescent="0.25"/>
  <sheetData>
    <row r="1" spans="1:9" x14ac:dyDescent="0.25">
      <c r="A1" t="s">
        <v>0</v>
      </c>
      <c r="B1" t="s">
        <v>1</v>
      </c>
      <c r="C1" t="s">
        <v>78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83</v>
      </c>
    </row>
    <row r="2" spans="1:9" x14ac:dyDescent="0.25">
      <c r="A2" t="s">
        <v>7</v>
      </c>
      <c r="B2" t="s">
        <v>8</v>
      </c>
      <c r="C2">
        <v>0.2</v>
      </c>
      <c r="D2" t="s">
        <v>9</v>
      </c>
      <c r="E2">
        <v>375.64400000000001</v>
      </c>
      <c r="F2" s="1">
        <v>558.48455899999999</v>
      </c>
      <c r="G2" s="2" t="s">
        <v>10</v>
      </c>
      <c r="H2" s="2" t="s">
        <v>11</v>
      </c>
    </row>
    <row r="3" spans="1:9" x14ac:dyDescent="0.25">
      <c r="A3" t="s">
        <v>7</v>
      </c>
      <c r="B3" t="s">
        <v>8</v>
      </c>
      <c r="C3">
        <v>0.4</v>
      </c>
      <c r="D3" t="s">
        <v>9</v>
      </c>
      <c r="E3">
        <v>373.38780000000003</v>
      </c>
      <c r="F3" s="1">
        <v>541.96069699999998</v>
      </c>
      <c r="G3" s="2" t="s">
        <v>12</v>
      </c>
      <c r="H3" s="2" t="s">
        <v>13</v>
      </c>
    </row>
    <row r="4" spans="1:9" x14ac:dyDescent="0.25">
      <c r="A4" t="s">
        <v>7</v>
      </c>
      <c r="B4" t="s">
        <v>8</v>
      </c>
      <c r="C4">
        <v>0.6</v>
      </c>
      <c r="D4" t="s">
        <v>9</v>
      </c>
      <c r="E4">
        <v>367.97930000000002</v>
      </c>
      <c r="F4" s="1">
        <v>506.31129825093899</v>
      </c>
      <c r="G4" s="2" t="s">
        <v>14</v>
      </c>
      <c r="H4" s="2" t="s">
        <v>15</v>
      </c>
    </row>
    <row r="5" spans="1:9" x14ac:dyDescent="0.25">
      <c r="A5" t="s">
        <v>7</v>
      </c>
      <c r="B5" t="s">
        <v>8</v>
      </c>
      <c r="C5">
        <v>0.8</v>
      </c>
      <c r="D5" t="s">
        <v>9</v>
      </c>
      <c r="E5">
        <v>359.89389999999997</v>
      </c>
      <c r="F5" s="1">
        <v>460.90841030095902</v>
      </c>
      <c r="G5" s="2" t="s">
        <v>16</v>
      </c>
      <c r="H5" s="2" t="s">
        <v>17</v>
      </c>
    </row>
    <row r="6" spans="1:9" x14ac:dyDescent="0.25">
      <c r="A6" t="s">
        <v>7</v>
      </c>
      <c r="B6" t="s">
        <v>8</v>
      </c>
      <c r="C6">
        <v>1</v>
      </c>
      <c r="D6" t="s">
        <v>9</v>
      </c>
      <c r="E6">
        <v>349.19099999999997</v>
      </c>
      <c r="F6" s="1">
        <v>411.584254505513</v>
      </c>
      <c r="G6">
        <v>806.41856392858494</v>
      </c>
      <c r="H6" s="2" t="s">
        <v>18</v>
      </c>
      <c r="I6" t="s">
        <v>84</v>
      </c>
    </row>
    <row r="7" spans="1:9" x14ac:dyDescent="0.25">
      <c r="A7" t="s">
        <v>19</v>
      </c>
      <c r="B7" t="s">
        <v>20</v>
      </c>
      <c r="C7">
        <v>0.2</v>
      </c>
      <c r="D7" t="s">
        <v>9</v>
      </c>
      <c r="E7" s="2" t="s">
        <v>21</v>
      </c>
      <c r="F7">
        <v>388.33942681616799</v>
      </c>
      <c r="G7" s="2" t="s">
        <v>22</v>
      </c>
      <c r="H7" s="2" t="s">
        <v>23</v>
      </c>
    </row>
    <row r="8" spans="1:9" x14ac:dyDescent="0.25">
      <c r="A8" t="s">
        <v>19</v>
      </c>
      <c r="B8" t="s">
        <v>20</v>
      </c>
      <c r="C8">
        <v>0.4</v>
      </c>
      <c r="D8" t="s">
        <v>9</v>
      </c>
      <c r="E8" s="2" t="s">
        <v>24</v>
      </c>
      <c r="F8" s="2" t="s">
        <v>25</v>
      </c>
      <c r="G8" s="2" t="s">
        <v>26</v>
      </c>
      <c r="H8" s="2" t="s">
        <v>27</v>
      </c>
    </row>
    <row r="9" spans="1:9" x14ac:dyDescent="0.25">
      <c r="A9" t="s">
        <v>19</v>
      </c>
      <c r="B9" t="s">
        <v>20</v>
      </c>
      <c r="C9">
        <v>0.6</v>
      </c>
      <c r="D9" t="s">
        <v>9</v>
      </c>
      <c r="E9" s="2" t="s">
        <v>28</v>
      </c>
      <c r="F9" s="2" t="s">
        <v>29</v>
      </c>
      <c r="G9" s="2" t="s">
        <v>30</v>
      </c>
      <c r="H9" s="2" t="s">
        <v>31</v>
      </c>
    </row>
    <row r="10" spans="1:9" x14ac:dyDescent="0.25">
      <c r="A10" t="s">
        <v>19</v>
      </c>
      <c r="B10" t="s">
        <v>20</v>
      </c>
      <c r="C10">
        <v>0.8</v>
      </c>
      <c r="D10" t="s">
        <v>9</v>
      </c>
      <c r="E10" s="2" t="s">
        <v>32</v>
      </c>
      <c r="F10" s="2" t="s">
        <v>33</v>
      </c>
      <c r="G10" s="2" t="s">
        <v>34</v>
      </c>
      <c r="H10" s="2" t="s">
        <v>35</v>
      </c>
    </row>
    <row r="11" spans="1:9" x14ac:dyDescent="0.25">
      <c r="A11" t="s">
        <v>19</v>
      </c>
      <c r="B11" t="s">
        <v>20</v>
      </c>
      <c r="C11">
        <v>1</v>
      </c>
      <c r="D11" t="s">
        <v>9</v>
      </c>
      <c r="E11" s="2" t="s">
        <v>36</v>
      </c>
      <c r="F11" s="2" t="s">
        <v>37</v>
      </c>
      <c r="G11" s="2" t="s">
        <v>38</v>
      </c>
      <c r="H11" s="2" t="s">
        <v>39</v>
      </c>
      <c r="I11">
        <v>1545.973</v>
      </c>
    </row>
    <row r="12" spans="1:9" x14ac:dyDescent="0.25">
      <c r="A12" t="s">
        <v>40</v>
      </c>
      <c r="B12" t="s">
        <v>41</v>
      </c>
      <c r="C12">
        <v>0.2</v>
      </c>
      <c r="D12" t="s">
        <v>9</v>
      </c>
      <c r="E12" s="2" t="s">
        <v>42</v>
      </c>
      <c r="F12" s="2" t="s">
        <v>43</v>
      </c>
      <c r="G12" s="2" t="s">
        <v>44</v>
      </c>
      <c r="H12" s="2" t="s">
        <v>45</v>
      </c>
    </row>
    <row r="13" spans="1:9" x14ac:dyDescent="0.25">
      <c r="A13" t="s">
        <v>40</v>
      </c>
      <c r="B13" t="s">
        <v>41</v>
      </c>
      <c r="C13">
        <v>0.4</v>
      </c>
      <c r="D13" t="s">
        <v>9</v>
      </c>
      <c r="E13" s="2" t="s">
        <v>46</v>
      </c>
      <c r="F13" s="2" t="s">
        <v>47</v>
      </c>
      <c r="G13" s="2" t="s">
        <v>48</v>
      </c>
      <c r="H13" s="2" t="s">
        <v>49</v>
      </c>
    </row>
    <row r="14" spans="1:9" x14ac:dyDescent="0.25">
      <c r="A14" t="s">
        <v>40</v>
      </c>
      <c r="B14" t="s">
        <v>41</v>
      </c>
      <c r="C14">
        <v>0.6</v>
      </c>
      <c r="D14" t="s">
        <v>9</v>
      </c>
      <c r="E14" s="2" t="s">
        <v>50</v>
      </c>
      <c r="F14" s="2" t="s">
        <v>51</v>
      </c>
      <c r="G14" s="2" t="s">
        <v>52</v>
      </c>
      <c r="H14" s="2" t="s">
        <v>53</v>
      </c>
    </row>
    <row r="15" spans="1:9" x14ac:dyDescent="0.25">
      <c r="A15" t="s">
        <v>40</v>
      </c>
      <c r="B15" t="s">
        <v>41</v>
      </c>
      <c r="C15">
        <v>0.8</v>
      </c>
      <c r="D15" t="s">
        <v>9</v>
      </c>
      <c r="E15" s="2" t="s">
        <v>54</v>
      </c>
      <c r="F15">
        <v>669.12267383911899</v>
      </c>
      <c r="G15" s="2" t="s">
        <v>55</v>
      </c>
      <c r="H15" s="2" t="s">
        <v>56</v>
      </c>
    </row>
    <row r="16" spans="1:9" x14ac:dyDescent="0.25">
      <c r="A16" t="s">
        <v>40</v>
      </c>
      <c r="B16" t="s">
        <v>41</v>
      </c>
      <c r="C16">
        <v>1</v>
      </c>
      <c r="D16" t="s">
        <v>9</v>
      </c>
      <c r="E16" s="2" t="s">
        <v>57</v>
      </c>
      <c r="F16" s="2" t="s">
        <v>58</v>
      </c>
      <c r="G16" s="2">
        <v>930.32690000000002</v>
      </c>
      <c r="H16" s="2">
        <v>1245.3049000000001</v>
      </c>
      <c r="I16">
        <v>1635.7411999999999</v>
      </c>
    </row>
    <row r="17" spans="1:11" x14ac:dyDescent="0.25">
      <c r="A17" t="s">
        <v>59</v>
      </c>
      <c r="B17" t="s">
        <v>60</v>
      </c>
      <c r="C17">
        <v>0.2</v>
      </c>
      <c r="D17" t="s">
        <v>9</v>
      </c>
      <c r="E17" s="2" t="s">
        <v>61</v>
      </c>
      <c r="F17">
        <v>354.51488370143198</v>
      </c>
      <c r="G17" s="2" t="s">
        <v>79</v>
      </c>
      <c r="H17" s="2" t="s">
        <v>62</v>
      </c>
    </row>
    <row r="18" spans="1:11" x14ac:dyDescent="0.25">
      <c r="A18" t="s">
        <v>59</v>
      </c>
      <c r="B18" t="s">
        <v>60</v>
      </c>
      <c r="C18">
        <v>0.4</v>
      </c>
      <c r="D18" t="s">
        <v>9</v>
      </c>
      <c r="E18" s="2" t="s">
        <v>61</v>
      </c>
      <c r="F18">
        <v>354.51488370143198</v>
      </c>
      <c r="G18" s="2" t="s">
        <v>79</v>
      </c>
      <c r="H18" s="2" t="s">
        <v>62</v>
      </c>
    </row>
    <row r="19" spans="1:11" x14ac:dyDescent="0.25">
      <c r="A19" t="s">
        <v>59</v>
      </c>
      <c r="B19" t="s">
        <v>60</v>
      </c>
      <c r="C19">
        <v>0.6</v>
      </c>
      <c r="D19" t="s">
        <v>9</v>
      </c>
      <c r="E19" s="2" t="s">
        <v>63</v>
      </c>
      <c r="F19" s="2" t="s">
        <v>64</v>
      </c>
      <c r="G19" s="2" t="s">
        <v>80</v>
      </c>
      <c r="H19" s="2" t="s">
        <v>65</v>
      </c>
    </row>
    <row r="20" spans="1:11" x14ac:dyDescent="0.25">
      <c r="A20" t="s">
        <v>59</v>
      </c>
      <c r="B20" t="s">
        <v>60</v>
      </c>
      <c r="C20">
        <v>0.8</v>
      </c>
      <c r="D20" t="s">
        <v>9</v>
      </c>
      <c r="E20" s="2" t="s">
        <v>66</v>
      </c>
      <c r="F20" s="2" t="s">
        <v>67</v>
      </c>
      <c r="G20" s="2" t="s">
        <v>81</v>
      </c>
      <c r="H20" s="2" t="s">
        <v>68</v>
      </c>
    </row>
    <row r="21" spans="1:11" x14ac:dyDescent="0.25">
      <c r="A21" t="s">
        <v>59</v>
      </c>
      <c r="B21" t="s">
        <v>60</v>
      </c>
      <c r="C21">
        <v>1</v>
      </c>
      <c r="D21" t="s">
        <v>9</v>
      </c>
      <c r="E21" s="2" t="s">
        <v>69</v>
      </c>
      <c r="F21" s="2" t="s">
        <v>70</v>
      </c>
      <c r="G21" s="2" t="s">
        <v>82</v>
      </c>
      <c r="H21" s="2" t="s">
        <v>71</v>
      </c>
      <c r="I21">
        <v>1398.12</v>
      </c>
    </row>
    <row r="22" spans="1:11" ht="15.5" x14ac:dyDescent="0.25">
      <c r="A22" t="s">
        <v>72</v>
      </c>
      <c r="B22" t="s">
        <v>85</v>
      </c>
      <c r="C22">
        <v>0.2</v>
      </c>
      <c r="D22" t="s">
        <v>9</v>
      </c>
      <c r="E22" s="2" t="s">
        <v>73</v>
      </c>
      <c r="F22" s="3">
        <v>408.26960000000003</v>
      </c>
      <c r="G22" s="3">
        <v>787.26610000000005</v>
      </c>
      <c r="H22" s="3">
        <v>1218.8064999999999</v>
      </c>
    </row>
    <row r="23" spans="1:11" ht="15.5" x14ac:dyDescent="0.25">
      <c r="A23" t="s">
        <v>72</v>
      </c>
      <c r="B23" t="s">
        <v>85</v>
      </c>
      <c r="C23">
        <v>0.4</v>
      </c>
      <c r="D23" t="s">
        <v>9</v>
      </c>
      <c r="E23" s="2" t="s">
        <v>74</v>
      </c>
      <c r="F23" s="3">
        <v>316.6825</v>
      </c>
      <c r="G23" s="3">
        <v>643.42430000000002</v>
      </c>
      <c r="H23" s="3">
        <v>1059.6565000000001</v>
      </c>
    </row>
    <row r="24" spans="1:11" ht="15.5" x14ac:dyDescent="0.25">
      <c r="A24" t="s">
        <v>72</v>
      </c>
      <c r="B24" t="s">
        <v>85</v>
      </c>
      <c r="C24">
        <v>0.6</v>
      </c>
      <c r="D24" t="s">
        <v>9</v>
      </c>
      <c r="E24" s="2" t="s">
        <v>75</v>
      </c>
      <c r="F24" s="3">
        <v>261.34660000000002</v>
      </c>
      <c r="G24" s="3">
        <v>550.69119999999998</v>
      </c>
      <c r="H24" s="3">
        <v>949.51149999999996</v>
      </c>
    </row>
    <row r="25" spans="1:11" ht="15.5" x14ac:dyDescent="0.25">
      <c r="A25" t="s">
        <v>72</v>
      </c>
      <c r="B25" t="s">
        <v>85</v>
      </c>
      <c r="C25">
        <v>0.8</v>
      </c>
      <c r="D25" t="s">
        <v>9</v>
      </c>
      <c r="E25" s="2" t="s">
        <v>76</v>
      </c>
      <c r="F25" s="3">
        <v>225.77070000000001</v>
      </c>
      <c r="G25" s="3">
        <v>488.57760000000002</v>
      </c>
      <c r="H25" s="3">
        <v>871.37760000000003</v>
      </c>
    </row>
    <row r="26" spans="1:11" ht="15.5" x14ac:dyDescent="0.25">
      <c r="A26" t="s">
        <v>72</v>
      </c>
      <c r="B26" t="s">
        <v>85</v>
      </c>
      <c r="C26">
        <v>1</v>
      </c>
      <c r="D26" t="s">
        <v>9</v>
      </c>
      <c r="E26" s="2" t="s">
        <v>77</v>
      </c>
      <c r="F26" s="3">
        <v>194.66820000000001</v>
      </c>
      <c r="G26" s="3">
        <v>432.03590000000003</v>
      </c>
      <c r="H26" s="3">
        <v>796.77110000000005</v>
      </c>
      <c r="I26">
        <v>1585.5087000000001</v>
      </c>
    </row>
    <row r="27" spans="1:11" ht="15.5" x14ac:dyDescent="0.25">
      <c r="B27" t="s">
        <v>86</v>
      </c>
      <c r="C27">
        <v>0.2</v>
      </c>
      <c r="D27" t="s">
        <v>9</v>
      </c>
      <c r="E27">
        <v>498.81229999999999</v>
      </c>
      <c r="F27" s="3">
        <v>746.39189999999996</v>
      </c>
      <c r="G27" s="3">
        <v>1425.5251000000001</v>
      </c>
      <c r="H27" s="3">
        <v>2210.4856</v>
      </c>
    </row>
    <row r="28" spans="1:11" ht="15.5" x14ac:dyDescent="0.25">
      <c r="B28" t="s">
        <v>86</v>
      </c>
      <c r="C28">
        <v>0.4</v>
      </c>
      <c r="D28" t="s">
        <v>9</v>
      </c>
      <c r="E28">
        <v>498.31450000000001</v>
      </c>
      <c r="F28" s="3">
        <v>742.60630000000003</v>
      </c>
      <c r="G28" s="3">
        <v>1419.6291000000001</v>
      </c>
      <c r="H28" s="3">
        <v>2204.8193000000001</v>
      </c>
    </row>
    <row r="29" spans="1:11" ht="15.5" x14ac:dyDescent="0.25">
      <c r="B29" t="s">
        <v>87</v>
      </c>
      <c r="C29">
        <v>0.6</v>
      </c>
      <c r="D29" t="s">
        <v>9</v>
      </c>
      <c r="E29">
        <v>495.87569999999999</v>
      </c>
      <c r="F29" s="3">
        <v>725.19749999999999</v>
      </c>
      <c r="G29" s="3">
        <v>1393.0143</v>
      </c>
      <c r="H29" s="3">
        <v>2178.1954000000001</v>
      </c>
    </row>
    <row r="30" spans="1:11" ht="15.5" x14ac:dyDescent="0.25">
      <c r="B30" t="s">
        <v>88</v>
      </c>
      <c r="C30">
        <v>0.8</v>
      </c>
      <c r="D30" t="s">
        <v>9</v>
      </c>
      <c r="E30">
        <v>486.81079999999997</v>
      </c>
      <c r="F30" s="3">
        <v>664.28240000000005</v>
      </c>
      <c r="G30" s="3">
        <v>1303.9249</v>
      </c>
      <c r="H30" s="3">
        <v>2082.1626000000001</v>
      </c>
      <c r="K30" s="4">
        <v>268.01780000000002</v>
      </c>
    </row>
    <row r="31" spans="1:11" ht="15.5" x14ac:dyDescent="0.25">
      <c r="B31" t="s">
        <v>89</v>
      </c>
      <c r="C31">
        <v>1</v>
      </c>
      <c r="D31" t="s">
        <v>9</v>
      </c>
      <c r="E31">
        <v>468.76339999999999</v>
      </c>
      <c r="F31" s="3">
        <v>563.59630000000004</v>
      </c>
      <c r="G31" s="3">
        <v>1145.4736</v>
      </c>
      <c r="H31" s="3">
        <v>1909.5461</v>
      </c>
      <c r="I31">
        <v>3296</v>
      </c>
      <c r="K31" s="4">
        <v>254.40860000000001</v>
      </c>
    </row>
    <row r="32" spans="1:11" ht="15.5" x14ac:dyDescent="0.25">
      <c r="B32" t="s">
        <v>90</v>
      </c>
      <c r="C32">
        <v>0.2</v>
      </c>
      <c r="D32" t="s">
        <v>9</v>
      </c>
      <c r="E32" s="4">
        <v>386.99849999999998</v>
      </c>
      <c r="F32" s="3">
        <v>461.95350000000002</v>
      </c>
      <c r="G32" s="3">
        <v>885.54150000000004</v>
      </c>
      <c r="H32" s="3">
        <v>1369.6414</v>
      </c>
    </row>
    <row r="33" spans="2:9" ht="15.5" x14ac:dyDescent="0.25">
      <c r="B33" t="s">
        <v>91</v>
      </c>
      <c r="C33">
        <v>0.4</v>
      </c>
      <c r="D33" t="s">
        <v>9</v>
      </c>
      <c r="E33" s="4">
        <v>298.01490000000001</v>
      </c>
      <c r="F33" s="3">
        <v>358.50670000000002</v>
      </c>
      <c r="G33">
        <v>720.79849999999999</v>
      </c>
      <c r="H33" s="3">
        <v>1187.2807</v>
      </c>
    </row>
    <row r="34" spans="2:9" ht="15.5" x14ac:dyDescent="0.25">
      <c r="B34" t="s">
        <v>92</v>
      </c>
      <c r="C34">
        <v>0.6</v>
      </c>
      <c r="D34" t="s">
        <v>9</v>
      </c>
      <c r="E34" s="4">
        <v>270.9348</v>
      </c>
      <c r="F34" s="3">
        <v>291.2149</v>
      </c>
      <c r="G34" s="3">
        <v>607.36649999999997</v>
      </c>
      <c r="H34" s="3">
        <v>1052.2402</v>
      </c>
    </row>
    <row r="35" spans="2:9" ht="15.5" x14ac:dyDescent="0.25">
      <c r="B35" t="s">
        <v>93</v>
      </c>
      <c r="C35">
        <v>0.8</v>
      </c>
      <c r="D35" t="s">
        <v>9</v>
      </c>
      <c r="E35" s="4">
        <v>239.01779999999999</v>
      </c>
      <c r="F35" s="3">
        <v>250.92869999999999</v>
      </c>
      <c r="G35" s="3">
        <v>536.26750000000004</v>
      </c>
      <c r="H35" s="3">
        <v>962.00099999999998</v>
      </c>
    </row>
    <row r="36" spans="2:9" ht="15.5" x14ac:dyDescent="0.25">
      <c r="B36" t="s">
        <v>94</v>
      </c>
      <c r="C36">
        <v>1</v>
      </c>
      <c r="D36" t="s">
        <v>9</v>
      </c>
      <c r="E36" s="4">
        <v>208.40860000000001</v>
      </c>
      <c r="F36" s="3">
        <v>215.42160000000001</v>
      </c>
      <c r="G36" s="3">
        <v>471.3218</v>
      </c>
      <c r="H36" s="3">
        <v>875.32209999999998</v>
      </c>
      <c r="I36">
        <v>1792.8153</v>
      </c>
    </row>
    <row r="37" spans="2:9" ht="15.5" x14ac:dyDescent="0.25">
      <c r="F37" s="3"/>
    </row>
    <row r="38" spans="2:9" ht="15.5" x14ac:dyDescent="0.25">
      <c r="F38" s="3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0614F-7F9D-4042-A7FC-AB8715563534}">
  <dimension ref="A1:Y27"/>
  <sheetViews>
    <sheetView tabSelected="1" topLeftCell="A4" workbookViewId="0">
      <selection activeCell="H18" sqref="H18"/>
    </sheetView>
  </sheetViews>
  <sheetFormatPr defaultRowHeight="15" x14ac:dyDescent="0.25"/>
  <sheetData>
    <row r="1" spans="1:22" x14ac:dyDescent="0.25">
      <c r="A1" s="5" t="s">
        <v>1</v>
      </c>
      <c r="B1" t="s">
        <v>78</v>
      </c>
      <c r="C1" t="s">
        <v>173</v>
      </c>
      <c r="D1" t="s">
        <v>99</v>
      </c>
      <c r="E1" t="s">
        <v>4</v>
      </c>
      <c r="F1" t="s">
        <v>5</v>
      </c>
      <c r="G1" t="s">
        <v>6</v>
      </c>
      <c r="H1" t="s">
        <v>83</v>
      </c>
    </row>
    <row r="2" spans="1:22" x14ac:dyDescent="0.25">
      <c r="A2" s="5" t="s">
        <v>8</v>
      </c>
      <c r="B2">
        <v>0.2</v>
      </c>
      <c r="C2" t="s">
        <v>172</v>
      </c>
      <c r="D2" s="6" t="s">
        <v>95</v>
      </c>
      <c r="E2" s="6" t="s">
        <v>159</v>
      </c>
      <c r="F2" s="6" t="s">
        <v>144</v>
      </c>
      <c r="G2" s="6" t="s">
        <v>154</v>
      </c>
      <c r="H2" s="6" t="s">
        <v>149</v>
      </c>
    </row>
    <row r="3" spans="1:22" x14ac:dyDescent="0.25">
      <c r="A3" s="5" t="s">
        <v>8</v>
      </c>
      <c r="B3">
        <v>0.4</v>
      </c>
      <c r="C3" t="s">
        <v>172</v>
      </c>
      <c r="D3" s="6" t="s">
        <v>96</v>
      </c>
      <c r="E3" s="6" t="s">
        <v>160</v>
      </c>
      <c r="F3" s="6" t="s">
        <v>145</v>
      </c>
      <c r="G3" s="6" t="s">
        <v>155</v>
      </c>
      <c r="H3" s="6" t="s">
        <v>150</v>
      </c>
      <c r="K3">
        <f>(E2-D2)/D2</f>
        <v>1.0893862872524356</v>
      </c>
      <c r="L3">
        <f>(F2-D2)/D2</f>
        <v>2.4129822908607856</v>
      </c>
      <c r="M3">
        <f>(G2-D2)/D2</f>
        <v>2.7975835431887925</v>
      </c>
      <c r="N3">
        <f>(H2-D2)/D2</f>
        <v>5.7712469472594794</v>
      </c>
    </row>
    <row r="4" spans="1:22" x14ac:dyDescent="0.25">
      <c r="A4" s="5" t="s">
        <v>8</v>
      </c>
      <c r="B4">
        <v>0.6</v>
      </c>
      <c r="C4" t="s">
        <v>172</v>
      </c>
      <c r="D4" s="5">
        <v>362.946214722815</v>
      </c>
      <c r="E4" s="6" t="s">
        <v>161</v>
      </c>
      <c r="F4" s="6" t="s">
        <v>146</v>
      </c>
      <c r="G4" s="6" t="s">
        <v>156</v>
      </c>
      <c r="H4" s="6" t="s">
        <v>151</v>
      </c>
      <c r="K4">
        <f>(E3-D3)/D3</f>
        <v>1.089828799367704</v>
      </c>
      <c r="L4">
        <f>(F3-D3)/D3</f>
        <v>2.3991573069144638</v>
      </c>
      <c r="M4">
        <f>(G3-D3)/D3</f>
        <v>2.7777930205855625</v>
      </c>
      <c r="N4">
        <f>(H3-D3)/D3</f>
        <v>5.6203061932820102</v>
      </c>
      <c r="P4" s="5" t="s">
        <v>1</v>
      </c>
      <c r="Q4" t="s">
        <v>78</v>
      </c>
      <c r="R4" t="s">
        <v>99</v>
      </c>
      <c r="S4" t="s">
        <v>4</v>
      </c>
      <c r="T4" t="s">
        <v>5</v>
      </c>
      <c r="U4" t="s">
        <v>6</v>
      </c>
      <c r="V4" t="s">
        <v>83</v>
      </c>
    </row>
    <row r="5" spans="1:22" x14ac:dyDescent="0.25">
      <c r="A5" s="5" t="s">
        <v>8</v>
      </c>
      <c r="B5">
        <v>0.8</v>
      </c>
      <c r="C5" t="s">
        <v>172</v>
      </c>
      <c r="D5" s="6" t="s">
        <v>97</v>
      </c>
      <c r="E5" s="6" t="s">
        <v>162</v>
      </c>
      <c r="F5" s="6" t="s">
        <v>147</v>
      </c>
      <c r="G5" s="6" t="s">
        <v>157</v>
      </c>
      <c r="H5" s="6" t="s">
        <v>152</v>
      </c>
      <c r="K5">
        <f>(E4-D4)/D4</f>
        <v>1.0899874742600089</v>
      </c>
      <c r="L5">
        <f>(F4-D4)/D4</f>
        <v>2.3881929116094409</v>
      </c>
      <c r="M5">
        <f>(G4-D4)/D4</f>
        <v>2.7619536440605588</v>
      </c>
      <c r="N5">
        <f>(H4-D4)/D4</f>
        <v>5.5163340122390041</v>
      </c>
      <c r="P5" s="5" t="s">
        <v>8</v>
      </c>
      <c r="Q5">
        <v>0.2</v>
      </c>
      <c r="R5" s="6"/>
      <c r="S5" s="6"/>
      <c r="T5" s="6"/>
      <c r="U5" s="6"/>
      <c r="V5" s="6"/>
    </row>
    <row r="6" spans="1:22" x14ac:dyDescent="0.25">
      <c r="A6" s="5" t="s">
        <v>8</v>
      </c>
      <c r="B6">
        <v>1</v>
      </c>
      <c r="C6" t="s">
        <v>172</v>
      </c>
      <c r="D6" s="6" t="s">
        <v>98</v>
      </c>
      <c r="E6" s="6" t="s">
        <v>163</v>
      </c>
      <c r="F6" s="6" t="s">
        <v>148</v>
      </c>
      <c r="G6" s="6" t="s">
        <v>158</v>
      </c>
      <c r="H6" s="6" t="s">
        <v>153</v>
      </c>
      <c r="K6">
        <f>(E5-D5)/D5</f>
        <v>1.0899468592777022</v>
      </c>
      <c r="L6">
        <f>(F5-D5)/D5</f>
        <v>2.379063526796938</v>
      </c>
      <c r="M6">
        <f>(G5-D5)/D5</f>
        <v>2.7486888483024101</v>
      </c>
      <c r="N6">
        <f>(H5-D5)/D5</f>
        <v>5.4369152149001874</v>
      </c>
      <c r="P6" s="5" t="s">
        <v>8</v>
      </c>
      <c r="Q6">
        <v>0.4</v>
      </c>
      <c r="R6" s="6"/>
      <c r="S6" s="6"/>
      <c r="T6" s="6"/>
      <c r="U6" s="6"/>
      <c r="V6" s="6"/>
    </row>
    <row r="7" spans="1:22" x14ac:dyDescent="0.25">
      <c r="A7" s="5" t="s">
        <v>60</v>
      </c>
      <c r="B7">
        <v>0.2</v>
      </c>
      <c r="C7" t="s">
        <v>172</v>
      </c>
      <c r="D7" s="6" t="s">
        <v>117</v>
      </c>
      <c r="E7" s="6" t="s">
        <v>112</v>
      </c>
      <c r="F7" s="5">
        <v>810.38122604031003</v>
      </c>
      <c r="G7" s="6" t="s">
        <v>105</v>
      </c>
      <c r="H7" s="6" t="s">
        <v>100</v>
      </c>
      <c r="K7">
        <f>(E6-D6)/D6</f>
        <v>1.0897618446377551</v>
      </c>
      <c r="L7">
        <f>(F6-D6)/D6</f>
        <v>2.3712031906205686</v>
      </c>
      <c r="M7">
        <f>(G6-D6)/D6</f>
        <v>2.7372286329192059</v>
      </c>
      <c r="N7">
        <f>(H6-D6)/D6</f>
        <v>5.3726792041497839</v>
      </c>
      <c r="P7" s="5" t="s">
        <v>8</v>
      </c>
      <c r="Q7">
        <v>0.6</v>
      </c>
      <c r="R7" s="5"/>
      <c r="S7" s="6"/>
      <c r="T7" s="6"/>
      <c r="U7" s="6"/>
      <c r="V7" s="6"/>
    </row>
    <row r="8" spans="1:22" x14ac:dyDescent="0.25">
      <c r="A8" s="5" t="s">
        <v>60</v>
      </c>
      <c r="B8">
        <v>0.4</v>
      </c>
      <c r="C8" t="s">
        <v>172</v>
      </c>
      <c r="D8" s="6" t="s">
        <v>118</v>
      </c>
      <c r="E8" s="6" t="s">
        <v>113</v>
      </c>
      <c r="F8" s="5">
        <v>782.87075401516904</v>
      </c>
      <c r="G8" s="6" t="s">
        <v>106</v>
      </c>
      <c r="H8" s="6" t="s">
        <v>101</v>
      </c>
      <c r="K8">
        <f>(E7-D7)/D7</f>
        <v>1.2580685498796076</v>
      </c>
      <c r="L8">
        <f>(F7-D7)/D7</f>
        <v>2.7540787117610148</v>
      </c>
      <c r="M8">
        <f>(G7-D7)/D7</f>
        <v>4.1810541469535547</v>
      </c>
      <c r="N8">
        <f>(H7-D7)/D7</f>
        <v>6.7133757167460439</v>
      </c>
      <c r="P8" s="5" t="s">
        <v>8</v>
      </c>
      <c r="Q8">
        <v>0.8</v>
      </c>
      <c r="R8" s="6"/>
      <c r="S8" s="6"/>
      <c r="T8" s="6"/>
      <c r="U8" s="6"/>
      <c r="V8" s="6"/>
    </row>
    <row r="9" spans="1:22" x14ac:dyDescent="0.25">
      <c r="A9" s="5" t="s">
        <v>60</v>
      </c>
      <c r="B9">
        <v>0.6</v>
      </c>
      <c r="C9" t="s">
        <v>172</v>
      </c>
      <c r="D9" s="6" t="s">
        <v>119</v>
      </c>
      <c r="E9" s="6" t="s">
        <v>114</v>
      </c>
      <c r="F9" s="6" t="s">
        <v>110</v>
      </c>
      <c r="G9" s="6" t="s">
        <v>107</v>
      </c>
      <c r="H9" s="6" t="s">
        <v>102</v>
      </c>
      <c r="K9">
        <f>(E8-D8)/D8</f>
        <v>1.262237512733875</v>
      </c>
      <c r="L9">
        <f>(F8-D8)/D8</f>
        <v>2.7494022279398611</v>
      </c>
      <c r="M9">
        <f>(G8-D8)/D8</f>
        <v>4.1606101573956034</v>
      </c>
      <c r="N9">
        <f>(H8-D8)/D8</f>
        <v>6.5347699481178756</v>
      </c>
      <c r="P9" s="5" t="s">
        <v>8</v>
      </c>
      <c r="Q9">
        <v>1</v>
      </c>
      <c r="R9" s="6"/>
      <c r="S9" s="6"/>
      <c r="T9" s="6"/>
      <c r="U9" s="6"/>
      <c r="V9" s="6"/>
    </row>
    <row r="10" spans="1:22" x14ac:dyDescent="0.25">
      <c r="A10" s="5" t="s">
        <v>60</v>
      </c>
      <c r="B10">
        <v>0.8</v>
      </c>
      <c r="C10" t="s">
        <v>172</v>
      </c>
      <c r="D10" s="6" t="s">
        <v>120</v>
      </c>
      <c r="E10" s="6" t="s">
        <v>115</v>
      </c>
      <c r="F10" s="5">
        <v>738.84543766700006</v>
      </c>
      <c r="G10" s="6" t="s">
        <v>108</v>
      </c>
      <c r="H10" s="6" t="s">
        <v>103</v>
      </c>
      <c r="K10">
        <f>(E9-D9)/D9</f>
        <v>1.2653287710462882</v>
      </c>
      <c r="L10">
        <f>(F9-D9)/D9</f>
        <v>2.7459136145203127</v>
      </c>
      <c r="M10">
        <f>(G9-D9)/D9</f>
        <v>4.1443258775629186</v>
      </c>
      <c r="N10">
        <f>(H9-D9)/D9</f>
        <v>6.4164592252933987</v>
      </c>
      <c r="P10" s="5" t="s">
        <v>60</v>
      </c>
      <c r="Q10">
        <v>0.2</v>
      </c>
      <c r="R10" s="6"/>
      <c r="S10" s="6"/>
      <c r="T10" s="5"/>
      <c r="U10" s="6"/>
      <c r="V10" s="6"/>
    </row>
    <row r="11" spans="1:22" x14ac:dyDescent="0.25">
      <c r="A11" s="5" t="s">
        <v>60</v>
      </c>
      <c r="B11">
        <v>1</v>
      </c>
      <c r="C11" t="s">
        <v>172</v>
      </c>
      <c r="D11" s="6" t="s">
        <v>121</v>
      </c>
      <c r="E11" s="6" t="s">
        <v>116</v>
      </c>
      <c r="F11" s="6" t="s">
        <v>111</v>
      </c>
      <c r="G11" s="6" t="s">
        <v>109</v>
      </c>
      <c r="H11" s="6" t="s">
        <v>104</v>
      </c>
      <c r="K11">
        <f>(E10-D10)/D10</f>
        <v>1.2676626874699655</v>
      </c>
      <c r="L11">
        <f>(F10-D10)/D10</f>
        <v>2.742985378035399</v>
      </c>
      <c r="M11">
        <f>(G10-D10)/D10</f>
        <v>4.1305725820112622</v>
      </c>
      <c r="N11">
        <f>(H10-D10)/D10</f>
        <v>6.3279355109901454</v>
      </c>
      <c r="P11" s="5" t="s">
        <v>60</v>
      </c>
      <c r="Q11">
        <v>0.4</v>
      </c>
      <c r="R11" s="6"/>
      <c r="S11" s="6"/>
      <c r="T11" s="5"/>
      <c r="U11" s="6"/>
      <c r="V11" s="6"/>
    </row>
    <row r="12" spans="1:22" x14ac:dyDescent="0.25">
      <c r="A12" t="s">
        <v>41</v>
      </c>
      <c r="B12">
        <v>0.2</v>
      </c>
      <c r="C12" t="s">
        <v>172</v>
      </c>
      <c r="D12" s="6" t="s">
        <v>122</v>
      </c>
      <c r="E12" s="6" t="s">
        <v>127</v>
      </c>
      <c r="F12" s="6" t="s">
        <v>131</v>
      </c>
      <c r="G12" s="6" t="s">
        <v>134</v>
      </c>
      <c r="H12" s="6" t="s">
        <v>139</v>
      </c>
      <c r="K12">
        <f>(E11-D11)/D11</f>
        <v>1.269446783983041</v>
      </c>
      <c r="L12">
        <f>(F11-D11)/D11</f>
        <v>2.7403520131342924</v>
      </c>
      <c r="M12">
        <f>(G11-D11)/D11</f>
        <v>4.118519635618977</v>
      </c>
      <c r="N12">
        <f>(H11-D11)/D11</f>
        <v>6.2571978578622947</v>
      </c>
      <c r="P12" s="5" t="s">
        <v>60</v>
      </c>
      <c r="Q12">
        <v>0.6</v>
      </c>
      <c r="R12" s="6"/>
      <c r="S12" s="6"/>
      <c r="T12" s="6"/>
      <c r="U12" s="6"/>
      <c r="V12" s="6"/>
    </row>
    <row r="13" spans="1:22" x14ac:dyDescent="0.25">
      <c r="A13" t="s">
        <v>41</v>
      </c>
      <c r="B13">
        <v>0.4</v>
      </c>
      <c r="C13" t="s">
        <v>172</v>
      </c>
      <c r="D13" s="6" t="s">
        <v>123</v>
      </c>
      <c r="E13" s="6" t="s">
        <v>128</v>
      </c>
      <c r="F13" s="6" t="s">
        <v>132</v>
      </c>
      <c r="G13" s="6" t="s">
        <v>135</v>
      </c>
      <c r="H13" s="6" t="s">
        <v>140</v>
      </c>
      <c r="K13">
        <f>(E12-D12)/D12</f>
        <v>1.2219508415988014</v>
      </c>
      <c r="L13">
        <f>(F12-D12)/D12</f>
        <v>2.5379138994597508</v>
      </c>
      <c r="M13">
        <f>(G12-D12)/D12</f>
        <v>3.8177286391911691</v>
      </c>
      <c r="N13">
        <f>(H12-D12)/D12</f>
        <v>5.712170699968123</v>
      </c>
      <c r="P13" s="5" t="s">
        <v>60</v>
      </c>
      <c r="Q13">
        <v>0.8</v>
      </c>
      <c r="R13" s="6"/>
      <c r="S13" s="6"/>
      <c r="T13" s="5"/>
      <c r="U13" s="6"/>
      <c r="V13" s="6"/>
    </row>
    <row r="14" spans="1:22" x14ac:dyDescent="0.25">
      <c r="A14" t="s">
        <v>41</v>
      </c>
      <c r="B14">
        <v>0.6</v>
      </c>
      <c r="C14" t="s">
        <v>172</v>
      </c>
      <c r="D14" s="6" t="s">
        <v>124</v>
      </c>
      <c r="E14" s="5">
        <v>673.64219191606003</v>
      </c>
      <c r="F14" s="6" t="s">
        <v>133</v>
      </c>
      <c r="G14" s="6" t="s">
        <v>136</v>
      </c>
      <c r="H14" s="6" t="s">
        <v>141</v>
      </c>
      <c r="K14">
        <f>(E13-D13)/D13</f>
        <v>1.2242720593321088</v>
      </c>
      <c r="L14">
        <f>(F13-D13)/D13</f>
        <v>2.5094861339334003</v>
      </c>
      <c r="M14">
        <f>(G13-D13)/D13</f>
        <v>3.7472708589528034</v>
      </c>
      <c r="N14">
        <f>(H13-D13)/D13</f>
        <v>5.4622153229040791</v>
      </c>
      <c r="P14" s="5" t="s">
        <v>60</v>
      </c>
      <c r="Q14">
        <v>1</v>
      </c>
      <c r="R14" s="6"/>
      <c r="S14" s="6"/>
      <c r="T14" s="6"/>
      <c r="U14" s="6"/>
      <c r="V14" s="6"/>
    </row>
    <row r="15" spans="1:22" x14ac:dyDescent="0.25">
      <c r="A15" t="s">
        <v>41</v>
      </c>
      <c r="B15">
        <v>0.8</v>
      </c>
      <c r="C15" t="s">
        <v>172</v>
      </c>
      <c r="D15" s="6" t="s">
        <v>125</v>
      </c>
      <c r="E15" s="6" t="s">
        <v>129</v>
      </c>
      <c r="F15" s="5">
        <v>986.761788910105</v>
      </c>
      <c r="G15" s="6" t="s">
        <v>137</v>
      </c>
      <c r="H15" s="6" t="s">
        <v>142</v>
      </c>
      <c r="K15">
        <f>(E14-D14)/D14</f>
        <v>1.2241334209813939</v>
      </c>
      <c r="L15">
        <f>(F14-D14)/D14</f>
        <v>2.4893055852258295</v>
      </c>
      <c r="M15">
        <f>(G14-D14)/D14</f>
        <v>3.6988984830845699</v>
      </c>
      <c r="N15">
        <f>(H14-D14)/D14</f>
        <v>5.3118063833237512</v>
      </c>
      <c r="P15" t="s">
        <v>41</v>
      </c>
      <c r="Q15">
        <v>0.2</v>
      </c>
      <c r="R15" s="6"/>
      <c r="S15" s="6"/>
      <c r="T15" s="6"/>
      <c r="U15" s="6"/>
      <c r="V15" s="6"/>
    </row>
    <row r="16" spans="1:22" x14ac:dyDescent="0.25">
      <c r="A16" t="s">
        <v>41</v>
      </c>
      <c r="B16">
        <v>1</v>
      </c>
      <c r="C16" t="s">
        <v>172</v>
      </c>
      <c r="D16" s="6" t="s">
        <v>126</v>
      </c>
      <c r="E16" s="6" t="s">
        <v>130</v>
      </c>
      <c r="F16" s="5">
        <v>930.32692783878394</v>
      </c>
      <c r="G16" s="6" t="s">
        <v>138</v>
      </c>
      <c r="H16" s="6" t="s">
        <v>143</v>
      </c>
      <c r="K16">
        <f>(E15-D15)/D15</f>
        <v>1.2230371926792833</v>
      </c>
      <c r="L16">
        <f>(F15-D15)/D15</f>
        <v>2.4731987658874539</v>
      </c>
      <c r="M16">
        <f>(G15-D15)/D15</f>
        <v>3.6615240285595134</v>
      </c>
      <c r="N16">
        <f>(H15-D15)/D15</f>
        <v>5.2043780852881438</v>
      </c>
      <c r="P16" t="s">
        <v>41</v>
      </c>
      <c r="Q16">
        <v>0.4</v>
      </c>
      <c r="R16" s="6"/>
      <c r="S16" s="6"/>
      <c r="T16" s="6"/>
      <c r="U16" s="6"/>
      <c r="V16" s="6"/>
    </row>
    <row r="17" spans="1:25" x14ac:dyDescent="0.25">
      <c r="A17" t="s">
        <v>165</v>
      </c>
      <c r="B17">
        <v>0.2</v>
      </c>
      <c r="C17" t="s">
        <v>172</v>
      </c>
      <c r="D17" s="6" t="s">
        <v>219</v>
      </c>
      <c r="E17" s="6" t="s">
        <v>214</v>
      </c>
      <c r="F17" s="6" t="s">
        <v>199</v>
      </c>
      <c r="G17" s="6" t="s">
        <v>209</v>
      </c>
      <c r="H17" s="6" t="s">
        <v>204</v>
      </c>
      <c r="K17">
        <f>(E16-D16)/D16</f>
        <v>1.221516098332337</v>
      </c>
      <c r="L17">
        <f t="shared" ref="L17:L25" si="0">(F16-D16)/D16</f>
        <v>2.4596914869869053</v>
      </c>
      <c r="M17">
        <f t="shared" ref="M17:M25" si="1">(G16-D16)/D16</f>
        <v>3.6310285913805731</v>
      </c>
      <c r="N17">
        <f t="shared" ref="N17:N25" si="2">(H16-D16)/D16</f>
        <v>5.121250521519527</v>
      </c>
      <c r="P17" t="s">
        <v>41</v>
      </c>
      <c r="Q17">
        <v>0.6</v>
      </c>
      <c r="R17" s="6"/>
      <c r="S17" s="5"/>
      <c r="T17" s="6"/>
      <c r="U17" s="6"/>
      <c r="V17" s="6"/>
    </row>
    <row r="18" spans="1:25" x14ac:dyDescent="0.25">
      <c r="A18" t="s">
        <v>165</v>
      </c>
      <c r="B18">
        <v>0.4</v>
      </c>
      <c r="C18" t="s">
        <v>172</v>
      </c>
      <c r="D18" s="6" t="s">
        <v>220</v>
      </c>
      <c r="E18" s="6" t="s">
        <v>215</v>
      </c>
      <c r="F18" s="6" t="s">
        <v>200</v>
      </c>
      <c r="G18" s="6" t="s">
        <v>210</v>
      </c>
      <c r="H18" s="6" t="s">
        <v>205</v>
      </c>
      <c r="K18">
        <f>(S20-R20)/R20</f>
        <v>1.2194930590600215</v>
      </c>
      <c r="L18">
        <f>(T20-R20)/R20</f>
        <v>2.6163887501461947</v>
      </c>
      <c r="M18">
        <f>(U20-R20)/R20</f>
        <v>3.9447485200384946</v>
      </c>
      <c r="N18">
        <f>(V20-R20)/R20</f>
        <v>6.3111371575731656</v>
      </c>
      <c r="P18" t="s">
        <v>41</v>
      </c>
      <c r="Q18">
        <v>0.8</v>
      </c>
      <c r="R18" s="6"/>
      <c r="S18" s="6"/>
      <c r="T18" s="5"/>
      <c r="U18" s="6"/>
      <c r="V18" s="6"/>
    </row>
    <row r="19" spans="1:25" x14ac:dyDescent="0.25">
      <c r="A19" t="s">
        <v>165</v>
      </c>
      <c r="B19">
        <v>0.6</v>
      </c>
      <c r="C19" t="s">
        <v>172</v>
      </c>
      <c r="D19" s="6" t="s">
        <v>221</v>
      </c>
      <c r="E19" s="6" t="s">
        <v>216</v>
      </c>
      <c r="F19" s="6" t="s">
        <v>201</v>
      </c>
      <c r="G19" s="6" t="s">
        <v>211</v>
      </c>
      <c r="H19" s="6" t="s">
        <v>206</v>
      </c>
      <c r="K19">
        <f>(S21-R21)/R21</f>
        <v>1.2183583937441955</v>
      </c>
      <c r="L19">
        <f>(T21-R21)/R21</f>
        <v>2.6023032090817306</v>
      </c>
      <c r="M19">
        <f>(U21-R21)/R21</f>
        <v>3.9147668458761822</v>
      </c>
      <c r="N19">
        <f>(V21-R21)/R21</f>
        <v>6.1225976986898756</v>
      </c>
      <c r="P19" t="s">
        <v>41</v>
      </c>
      <c r="Q19">
        <v>1</v>
      </c>
      <c r="R19" s="6"/>
      <c r="S19" s="6"/>
      <c r="T19" s="5"/>
      <c r="U19" s="6"/>
      <c r="V19" s="6"/>
    </row>
    <row r="20" spans="1:25" x14ac:dyDescent="0.25">
      <c r="A20" t="s">
        <v>165</v>
      </c>
      <c r="B20">
        <v>0.8</v>
      </c>
      <c r="C20" t="s">
        <v>172</v>
      </c>
      <c r="D20" s="6" t="s">
        <v>222</v>
      </c>
      <c r="E20" s="6" t="s">
        <v>217</v>
      </c>
      <c r="F20" s="6" t="s">
        <v>202</v>
      </c>
      <c r="G20" s="6" t="s">
        <v>212</v>
      </c>
      <c r="H20" s="6" t="s">
        <v>207</v>
      </c>
      <c r="K20">
        <f>(S22-R22)/R22</f>
        <v>1.2173295792878487</v>
      </c>
      <c r="L20">
        <f>(T22-R22)/R22</f>
        <v>2.5904305594649473</v>
      </c>
      <c r="M20">
        <f>(U22-R22)/R22</f>
        <v>3.8891727176051476</v>
      </c>
      <c r="N20">
        <f>(V22-R22)/R22</f>
        <v>5.988214480012279</v>
      </c>
      <c r="P20" t="s">
        <v>165</v>
      </c>
      <c r="Q20">
        <v>0.2</v>
      </c>
      <c r="R20" s="6" t="s">
        <v>179</v>
      </c>
      <c r="S20" s="6" t="s">
        <v>174</v>
      </c>
      <c r="T20" s="6" t="s">
        <v>184</v>
      </c>
      <c r="U20" s="6" t="s">
        <v>189</v>
      </c>
      <c r="V20" s="6" t="s">
        <v>194</v>
      </c>
    </row>
    <row r="21" spans="1:25" x14ac:dyDescent="0.25">
      <c r="A21" t="s">
        <v>165</v>
      </c>
      <c r="B21">
        <v>1</v>
      </c>
      <c r="C21" t="s">
        <v>172</v>
      </c>
      <c r="D21" s="6" t="s">
        <v>223</v>
      </c>
      <c r="E21" s="6" t="s">
        <v>218</v>
      </c>
      <c r="F21" s="6" t="s">
        <v>203</v>
      </c>
      <c r="G21" s="6" t="s">
        <v>213</v>
      </c>
      <c r="H21" s="6" t="s">
        <v>208</v>
      </c>
      <c r="K21">
        <f>(S23-R23)/R23</f>
        <v>1.2163613852238118</v>
      </c>
      <c r="L21">
        <f>(T23-R23)/R23</f>
        <v>2.5801456252908754</v>
      </c>
      <c r="M21">
        <f>(U23-R23)/R23</f>
        <v>3.8667955419123916</v>
      </c>
      <c r="N21">
        <f>(V23-R23)/R23</f>
        <v>5.8836791478574906</v>
      </c>
      <c r="P21" t="s">
        <v>165</v>
      </c>
      <c r="Q21">
        <v>0.4</v>
      </c>
      <c r="R21" s="6" t="s">
        <v>180</v>
      </c>
      <c r="S21" s="6" t="s">
        <v>175</v>
      </c>
      <c r="T21" s="6" t="s">
        <v>185</v>
      </c>
      <c r="U21" s="6" t="s">
        <v>190</v>
      </c>
      <c r="V21" s="6" t="s">
        <v>195</v>
      </c>
    </row>
    <row r="22" spans="1:25" x14ac:dyDescent="0.25">
      <c r="A22" t="s">
        <v>164</v>
      </c>
      <c r="B22">
        <v>1</v>
      </c>
      <c r="D22">
        <v>432.41559999999998</v>
      </c>
      <c r="E22">
        <v>949.4769</v>
      </c>
      <c r="F22">
        <v>1576.2992999999999</v>
      </c>
      <c r="G22">
        <v>2192.8779</v>
      </c>
      <c r="H22">
        <v>3317.6731</v>
      </c>
      <c r="K22">
        <f>(S24-R24)/R24</f>
        <v>1.2154310974795155</v>
      </c>
      <c r="L22">
        <f>(T24-R24)/R24</f>
        <v>2.5710519255924305</v>
      </c>
      <c r="M22">
        <f>(U24-R24)/R24</f>
        <v>3.846878301804602</v>
      </c>
      <c r="N22">
        <f>(V24-R24)/R24</f>
        <v>5.7982120058095568</v>
      </c>
      <c r="P22" t="s">
        <v>165</v>
      </c>
      <c r="Q22">
        <v>0.6</v>
      </c>
      <c r="R22" s="6" t="s">
        <v>181</v>
      </c>
      <c r="S22" s="6" t="s">
        <v>176</v>
      </c>
      <c r="T22" s="6" t="s">
        <v>186</v>
      </c>
      <c r="U22" s="6" t="s">
        <v>191</v>
      </c>
      <c r="V22" s="6" t="s">
        <v>196</v>
      </c>
    </row>
    <row r="23" spans="1:25" x14ac:dyDescent="0.25">
      <c r="K23">
        <f t="shared" ref="K18:K25" si="3">(E22-D22)/D22</f>
        <v>1.1957508008499234</v>
      </c>
      <c r="L23">
        <f t="shared" si="0"/>
        <v>2.6453340258769571</v>
      </c>
      <c r="M23">
        <f t="shared" si="1"/>
        <v>4.0712275412820444</v>
      </c>
      <c r="N23">
        <f t="shared" si="2"/>
        <v>6.6724176926086853</v>
      </c>
      <c r="P23" t="s">
        <v>165</v>
      </c>
      <c r="Q23">
        <v>0.8</v>
      </c>
      <c r="R23" s="6" t="s">
        <v>182</v>
      </c>
      <c r="S23" s="6" t="s">
        <v>177</v>
      </c>
      <c r="T23" s="6" t="s">
        <v>187</v>
      </c>
      <c r="U23" s="6" t="s">
        <v>192</v>
      </c>
      <c r="V23" s="6" t="s">
        <v>197</v>
      </c>
    </row>
    <row r="24" spans="1:25" x14ac:dyDescent="0.25">
      <c r="K24" t="e">
        <f t="shared" si="3"/>
        <v>#DIV/0!</v>
      </c>
      <c r="L24" t="e">
        <f t="shared" si="0"/>
        <v>#DIV/0!</v>
      </c>
      <c r="M24" t="e">
        <f t="shared" si="1"/>
        <v>#DIV/0!</v>
      </c>
      <c r="N24" t="e">
        <f t="shared" si="2"/>
        <v>#DIV/0!</v>
      </c>
      <c r="P24" t="s">
        <v>165</v>
      </c>
      <c r="Q24">
        <v>1</v>
      </c>
      <c r="R24" s="6" t="s">
        <v>183</v>
      </c>
      <c r="S24" s="6" t="s">
        <v>178</v>
      </c>
      <c r="T24" s="6" t="s">
        <v>188</v>
      </c>
      <c r="U24" s="6" t="s">
        <v>193</v>
      </c>
      <c r="V24" s="6" t="s">
        <v>198</v>
      </c>
      <c r="Y24">
        <v>3090.5210999999999</v>
      </c>
    </row>
    <row r="25" spans="1:25" x14ac:dyDescent="0.25">
      <c r="K25" t="e">
        <f t="shared" si="3"/>
        <v>#DIV/0!</v>
      </c>
      <c r="L25" t="e">
        <f t="shared" si="0"/>
        <v>#DIV/0!</v>
      </c>
      <c r="M25" t="e">
        <f t="shared" si="1"/>
        <v>#DIV/0!</v>
      </c>
      <c r="N25" t="e">
        <f t="shared" si="2"/>
        <v>#DIV/0!</v>
      </c>
    </row>
    <row r="27" spans="1:25" x14ac:dyDescent="0.25">
      <c r="P27" t="s">
        <v>164</v>
      </c>
      <c r="Q27">
        <v>1</v>
      </c>
      <c r="S27">
        <v>876.76229999999998</v>
      </c>
      <c r="T27">
        <v>1459.4879000000001</v>
      </c>
      <c r="U27">
        <v>2022.8336999999999</v>
      </c>
      <c r="V27">
        <v>3090.5210999999999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3450D-67A4-4FD0-8232-05B7A7B415AD}">
  <dimension ref="A1:O22"/>
  <sheetViews>
    <sheetView topLeftCell="A10" workbookViewId="0">
      <selection activeCell="A21" sqref="A21"/>
    </sheetView>
  </sheetViews>
  <sheetFormatPr defaultRowHeight="15" x14ac:dyDescent="0.25"/>
  <cols>
    <col min="1" max="1" width="10.33203125" customWidth="1"/>
  </cols>
  <sheetData>
    <row r="1" spans="1:15" x14ac:dyDescent="0.25">
      <c r="A1" s="5" t="s">
        <v>1</v>
      </c>
      <c r="B1" t="s">
        <v>78</v>
      </c>
      <c r="C1" t="s">
        <v>4</v>
      </c>
      <c r="D1" t="s">
        <v>5</v>
      </c>
      <c r="E1" t="s">
        <v>6</v>
      </c>
      <c r="F1" t="s">
        <v>83</v>
      </c>
    </row>
    <row r="2" spans="1:15" x14ac:dyDescent="0.25">
      <c r="A2" s="5" t="s">
        <v>8</v>
      </c>
      <c r="B2">
        <v>0.2</v>
      </c>
      <c r="C2">
        <v>1.0893862872524356</v>
      </c>
      <c r="D2">
        <v>2.4129822908607856</v>
      </c>
      <c r="E2">
        <v>2.7975835431887925</v>
      </c>
      <c r="F2">
        <v>5.7712469472594794</v>
      </c>
    </row>
    <row r="3" spans="1:15" x14ac:dyDescent="0.25">
      <c r="A3" s="5" t="s">
        <v>8</v>
      </c>
      <c r="B3">
        <v>0.4</v>
      </c>
      <c r="C3">
        <v>1.089828799367704</v>
      </c>
      <c r="D3">
        <v>2.3991573069144638</v>
      </c>
      <c r="E3">
        <v>2.7777930205855625</v>
      </c>
      <c r="F3">
        <v>5.6203061932820102</v>
      </c>
    </row>
    <row r="4" spans="1:15" x14ac:dyDescent="0.25">
      <c r="A4" s="5" t="s">
        <v>8</v>
      </c>
      <c r="B4">
        <v>0.6</v>
      </c>
      <c r="C4">
        <v>1.0899874742600089</v>
      </c>
      <c r="D4">
        <v>2.3881929116094409</v>
      </c>
      <c r="E4">
        <v>2.7619536440605588</v>
      </c>
      <c r="F4">
        <v>5.5163340122390041</v>
      </c>
    </row>
    <row r="5" spans="1:15" x14ac:dyDescent="0.25">
      <c r="A5" s="5" t="s">
        <v>8</v>
      </c>
      <c r="B5">
        <v>0.8</v>
      </c>
      <c r="C5">
        <v>1.0899468592777022</v>
      </c>
      <c r="D5">
        <v>2.379063526796938</v>
      </c>
      <c r="E5">
        <v>2.7486888483024101</v>
      </c>
      <c r="F5">
        <v>5.4369152149001874</v>
      </c>
    </row>
    <row r="6" spans="1:15" x14ac:dyDescent="0.25">
      <c r="A6" s="5" t="s">
        <v>8</v>
      </c>
      <c r="B6">
        <v>1</v>
      </c>
      <c r="C6">
        <v>1.0897618446377551</v>
      </c>
      <c r="D6">
        <v>2.3712031906205686</v>
      </c>
      <c r="E6">
        <v>2.7372286329192059</v>
      </c>
      <c r="F6">
        <v>5.3726792041497839</v>
      </c>
    </row>
    <row r="7" spans="1:15" x14ac:dyDescent="0.25">
      <c r="A7" s="5" t="s">
        <v>60</v>
      </c>
      <c r="B7">
        <v>0.2</v>
      </c>
      <c r="C7">
        <v>1.2580685498796076</v>
      </c>
      <c r="D7">
        <v>2.7540787117610148</v>
      </c>
      <c r="E7">
        <v>4.1810541469535547</v>
      </c>
      <c r="F7">
        <v>6.7133757167460439</v>
      </c>
    </row>
    <row r="8" spans="1:15" x14ac:dyDescent="0.25">
      <c r="A8" s="5" t="s">
        <v>60</v>
      </c>
      <c r="B8">
        <v>0.4</v>
      </c>
      <c r="C8">
        <v>1.262237512733875</v>
      </c>
      <c r="D8">
        <v>2.7494022279398611</v>
      </c>
      <c r="E8">
        <v>4.1606101573956034</v>
      </c>
      <c r="F8">
        <v>6.5347699481178756</v>
      </c>
    </row>
    <row r="9" spans="1:15" x14ac:dyDescent="0.25">
      <c r="A9" s="5" t="s">
        <v>60</v>
      </c>
      <c r="B9">
        <v>0.6</v>
      </c>
      <c r="C9">
        <v>1.2653287710462882</v>
      </c>
      <c r="D9">
        <v>2.7459136145203127</v>
      </c>
      <c r="E9">
        <v>4.1443258775629186</v>
      </c>
      <c r="F9">
        <v>6.4164592252933987</v>
      </c>
    </row>
    <row r="10" spans="1:15" x14ac:dyDescent="0.25">
      <c r="A10" s="5" t="s">
        <v>60</v>
      </c>
      <c r="B10">
        <v>0.8</v>
      </c>
      <c r="C10">
        <v>1.2676626874699655</v>
      </c>
      <c r="D10">
        <v>2.742985378035399</v>
      </c>
      <c r="E10">
        <v>4.1305725820112622</v>
      </c>
      <c r="F10">
        <v>6.3279355109901454</v>
      </c>
    </row>
    <row r="11" spans="1:15" x14ac:dyDescent="0.25">
      <c r="A11" s="5" t="s">
        <v>60</v>
      </c>
      <c r="B11">
        <v>1</v>
      </c>
      <c r="C11">
        <v>1.269446783983041</v>
      </c>
      <c r="D11">
        <v>2.7403520131342924</v>
      </c>
      <c r="E11">
        <v>4.118519635618977</v>
      </c>
      <c r="F11">
        <v>6.2571978578622947</v>
      </c>
    </row>
    <row r="12" spans="1:15" x14ac:dyDescent="0.25">
      <c r="A12" t="s">
        <v>41</v>
      </c>
      <c r="B12">
        <v>0.2</v>
      </c>
      <c r="C12">
        <v>1.2219508415988014</v>
      </c>
      <c r="D12">
        <v>2.5379138994597508</v>
      </c>
      <c r="E12">
        <v>3.8177286391911691</v>
      </c>
      <c r="F12">
        <v>5.712170699968123</v>
      </c>
    </row>
    <row r="13" spans="1:15" x14ac:dyDescent="0.25">
      <c r="A13" t="s">
        <v>41</v>
      </c>
      <c r="B13">
        <v>0.4</v>
      </c>
      <c r="C13">
        <v>1.2242720593321088</v>
      </c>
      <c r="D13">
        <v>2.5094861339334003</v>
      </c>
      <c r="E13">
        <v>3.7472708589528034</v>
      </c>
      <c r="F13">
        <v>5.4622153229040791</v>
      </c>
    </row>
    <row r="14" spans="1:15" x14ac:dyDescent="0.25">
      <c r="A14" t="s">
        <v>41</v>
      </c>
      <c r="B14">
        <v>0.6</v>
      </c>
      <c r="C14">
        <v>1.2241334209813939</v>
      </c>
      <c r="D14">
        <v>2.4893055852258295</v>
      </c>
      <c r="E14">
        <v>3.6988984830845699</v>
      </c>
      <c r="F14">
        <v>5.3118063833237512</v>
      </c>
    </row>
    <row r="15" spans="1:15" x14ac:dyDescent="0.25">
      <c r="A15" t="s">
        <v>41</v>
      </c>
      <c r="B15">
        <v>0.8</v>
      </c>
      <c r="C15">
        <v>1.2230371926792833</v>
      </c>
      <c r="D15">
        <v>2.4731987658874539</v>
      </c>
      <c r="E15">
        <v>3.6615240285595134</v>
      </c>
      <c r="F15">
        <v>5.2043780852881438</v>
      </c>
      <c r="O15">
        <v>3317.6731</v>
      </c>
    </row>
    <row r="16" spans="1:15" x14ac:dyDescent="0.25">
      <c r="A16" t="s">
        <v>41</v>
      </c>
      <c r="B16">
        <v>1</v>
      </c>
      <c r="C16">
        <v>1.221516098332337</v>
      </c>
      <c r="D16">
        <v>2.4596914869869053</v>
      </c>
      <c r="E16">
        <v>3.6310285913805731</v>
      </c>
      <c r="F16">
        <v>5.121250521519527</v>
      </c>
    </row>
    <row r="17" spans="1:6" x14ac:dyDescent="0.25">
      <c r="A17" t="s">
        <v>165</v>
      </c>
      <c r="B17">
        <v>0.2</v>
      </c>
      <c r="F17">
        <v>3317.6731</v>
      </c>
    </row>
    <row r="18" spans="1:6" x14ac:dyDescent="0.25">
      <c r="A18" t="s">
        <v>165</v>
      </c>
      <c r="B18">
        <v>0.4</v>
      </c>
    </row>
    <row r="19" spans="1:6" x14ac:dyDescent="0.25">
      <c r="A19" t="s">
        <v>165</v>
      </c>
      <c r="B19">
        <v>0.6</v>
      </c>
    </row>
    <row r="20" spans="1:6" x14ac:dyDescent="0.25">
      <c r="A20" t="s">
        <v>165</v>
      </c>
      <c r="B20">
        <v>0.8</v>
      </c>
    </row>
    <row r="21" spans="1:6" x14ac:dyDescent="0.25">
      <c r="A21" t="s">
        <v>165</v>
      </c>
      <c r="B21">
        <v>1</v>
      </c>
    </row>
    <row r="22" spans="1:6" x14ac:dyDescent="0.25">
      <c r="A22" t="s">
        <v>164</v>
      </c>
      <c r="B22">
        <v>1</v>
      </c>
      <c r="E22">
        <v>2192.8779</v>
      </c>
      <c r="F22">
        <v>3317.6731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85AC6-E966-4E05-9E71-1EE87D51305D}">
  <dimension ref="A1:O19"/>
  <sheetViews>
    <sheetView topLeftCell="A4" workbookViewId="0">
      <selection activeCell="F12" sqref="F12"/>
    </sheetView>
  </sheetViews>
  <sheetFormatPr defaultRowHeight="15" x14ac:dyDescent="0.25"/>
  <sheetData>
    <row r="1" spans="1:15" x14ac:dyDescent="0.25">
      <c r="A1" s="5" t="s">
        <v>1</v>
      </c>
      <c r="B1" t="s">
        <v>99</v>
      </c>
      <c r="C1" t="s">
        <v>4</v>
      </c>
      <c r="D1" t="s">
        <v>5</v>
      </c>
      <c r="E1" t="s">
        <v>6</v>
      </c>
      <c r="F1" t="s">
        <v>83</v>
      </c>
      <c r="I1" s="5" t="s">
        <v>1</v>
      </c>
      <c r="J1" t="s">
        <v>99</v>
      </c>
      <c r="K1" t="s">
        <v>4</v>
      </c>
      <c r="L1" t="s">
        <v>5</v>
      </c>
      <c r="M1" t="s">
        <v>6</v>
      </c>
      <c r="N1" t="s">
        <v>83</v>
      </c>
    </row>
    <row r="2" spans="1:15" x14ac:dyDescent="0.25">
      <c r="A2" s="5" t="s">
        <v>8</v>
      </c>
      <c r="B2" s="6"/>
      <c r="C2" s="6"/>
      <c r="D2" s="6"/>
      <c r="E2" s="6"/>
      <c r="F2" s="6"/>
      <c r="I2" s="5" t="s">
        <v>8</v>
      </c>
      <c r="J2" s="6"/>
      <c r="K2" s="6"/>
      <c r="L2" s="6"/>
      <c r="M2" s="6"/>
      <c r="N2" s="6"/>
    </row>
    <row r="3" spans="1:15" x14ac:dyDescent="0.25">
      <c r="A3" s="5" t="s">
        <v>60</v>
      </c>
      <c r="B3" s="6"/>
      <c r="C3" s="6"/>
      <c r="D3" s="6"/>
      <c r="E3" s="6"/>
      <c r="F3" s="6"/>
      <c r="I3" s="5" t="s">
        <v>60</v>
      </c>
      <c r="J3" s="6"/>
      <c r="K3" s="6"/>
      <c r="L3" s="6"/>
      <c r="M3" s="6"/>
      <c r="N3" s="6"/>
    </row>
    <row r="4" spans="1:15" x14ac:dyDescent="0.25">
      <c r="A4" t="s">
        <v>41</v>
      </c>
      <c r="B4" s="5"/>
      <c r="C4" s="6"/>
      <c r="D4" s="6"/>
      <c r="E4" s="6"/>
      <c r="F4" s="6">
        <v>0.120292</v>
      </c>
      <c r="I4" t="s">
        <v>41</v>
      </c>
      <c r="J4" s="5"/>
      <c r="K4" s="6"/>
      <c r="L4" s="6"/>
      <c r="M4" s="6"/>
      <c r="N4" s="6">
        <v>0.120292</v>
      </c>
    </row>
    <row r="5" spans="1:15" x14ac:dyDescent="0.25">
      <c r="A5" t="s">
        <v>165</v>
      </c>
      <c r="B5" s="6"/>
      <c r="C5" s="6"/>
      <c r="D5" s="6"/>
      <c r="E5" s="6"/>
      <c r="F5" s="6"/>
      <c r="I5" t="s">
        <v>165</v>
      </c>
      <c r="J5" s="6"/>
      <c r="K5" s="6"/>
      <c r="L5" s="6"/>
      <c r="M5" s="6"/>
      <c r="N5" s="6"/>
    </row>
    <row r="6" spans="1:15" x14ac:dyDescent="0.25">
      <c r="A6" t="s">
        <v>164</v>
      </c>
      <c r="B6" s="6"/>
      <c r="C6" s="6"/>
      <c r="D6" s="6"/>
      <c r="E6" s="6"/>
      <c r="F6" s="6"/>
      <c r="I6" t="s">
        <v>164</v>
      </c>
      <c r="J6" s="6"/>
      <c r="K6" s="6"/>
      <c r="L6" s="6"/>
      <c r="M6" s="6"/>
      <c r="N6" s="6"/>
    </row>
    <row r="7" spans="1:15" x14ac:dyDescent="0.25">
      <c r="A7" s="5"/>
      <c r="B7" s="6"/>
      <c r="C7" s="6"/>
      <c r="D7" s="5"/>
      <c r="E7" s="6"/>
      <c r="F7" s="6"/>
    </row>
    <row r="8" spans="1:15" x14ac:dyDescent="0.25">
      <c r="A8" s="5"/>
      <c r="B8" s="6"/>
      <c r="C8" s="6"/>
      <c r="D8" s="5"/>
      <c r="F8" s="6"/>
    </row>
    <row r="9" spans="1:15" x14ac:dyDescent="0.25">
      <c r="A9" s="5"/>
      <c r="B9" s="6"/>
      <c r="C9" s="6"/>
      <c r="D9" s="6"/>
      <c r="F9" s="6"/>
    </row>
    <row r="10" spans="1:15" x14ac:dyDescent="0.25">
      <c r="A10" s="5"/>
      <c r="B10" s="6"/>
      <c r="C10" s="6"/>
      <c r="D10" s="5"/>
      <c r="F10" s="6"/>
    </row>
    <row r="11" spans="1:15" x14ac:dyDescent="0.25">
      <c r="A11" s="5"/>
      <c r="B11" s="6"/>
      <c r="C11" s="6"/>
      <c r="D11" s="6"/>
      <c r="F11" s="6"/>
    </row>
    <row r="12" spans="1:15" x14ac:dyDescent="0.25">
      <c r="B12" s="6"/>
      <c r="C12" s="6"/>
      <c r="D12" s="6"/>
      <c r="F12" s="6"/>
    </row>
    <row r="13" spans="1:15" x14ac:dyDescent="0.25">
      <c r="B13" s="6"/>
      <c r="C13" s="6"/>
      <c r="D13" s="6"/>
      <c r="E13" s="6"/>
      <c r="F13" s="6"/>
    </row>
    <row r="14" spans="1:15" x14ac:dyDescent="0.25">
      <c r="B14" s="6"/>
      <c r="C14" s="5"/>
      <c r="D14" s="6"/>
      <c r="E14" s="6"/>
      <c r="F14" s="6"/>
      <c r="H14" t="s">
        <v>171</v>
      </c>
    </row>
    <row r="15" spans="1:15" x14ac:dyDescent="0.25">
      <c r="B15" s="6"/>
      <c r="C15" s="5" t="s">
        <v>8</v>
      </c>
      <c r="D15" s="5" t="s">
        <v>99</v>
      </c>
      <c r="E15" s="6" t="s">
        <v>9</v>
      </c>
      <c r="F15" s="6">
        <v>100</v>
      </c>
      <c r="G15">
        <v>1</v>
      </c>
      <c r="H15">
        <v>0.120952</v>
      </c>
      <c r="I15" t="s">
        <v>166</v>
      </c>
      <c r="J15">
        <v>0.01</v>
      </c>
      <c r="K15">
        <v>0.35</v>
      </c>
      <c r="L15">
        <v>12.095238</v>
      </c>
      <c r="M15" t="s">
        <v>166</v>
      </c>
      <c r="N15">
        <v>1</v>
      </c>
      <c r="O15">
        <v>35</v>
      </c>
    </row>
    <row r="16" spans="1:15" x14ac:dyDescent="0.25">
      <c r="B16" s="6"/>
      <c r="C16" s="6"/>
      <c r="D16" s="5" t="s">
        <v>167</v>
      </c>
      <c r="E16" s="6" t="s">
        <v>9</v>
      </c>
      <c r="F16" s="6">
        <v>236</v>
      </c>
      <c r="G16">
        <v>1</v>
      </c>
      <c r="H16">
        <v>0.120056</v>
      </c>
      <c r="I16" t="s">
        <v>166</v>
      </c>
      <c r="J16">
        <v>1.6948999999999999E-2</v>
      </c>
      <c r="K16">
        <v>0.67796599999999996</v>
      </c>
      <c r="L16">
        <v>12.005649999999999</v>
      </c>
      <c r="M16" t="s">
        <v>166</v>
      </c>
      <c r="N16">
        <v>1.6949149999999999</v>
      </c>
      <c r="O16">
        <v>67.796610000000001</v>
      </c>
    </row>
    <row r="17" spans="4:15" x14ac:dyDescent="0.25">
      <c r="D17" t="s">
        <v>168</v>
      </c>
      <c r="E17" t="s">
        <v>9</v>
      </c>
      <c r="F17">
        <v>417</v>
      </c>
      <c r="G17">
        <v>1</v>
      </c>
      <c r="H17">
        <v>0.120132</v>
      </c>
      <c r="I17" t="s">
        <v>166</v>
      </c>
      <c r="J17">
        <v>9.5919999999999998E-3</v>
      </c>
      <c r="K17">
        <v>0.81774599999999997</v>
      </c>
      <c r="L17">
        <v>12.013247</v>
      </c>
      <c r="M17" t="s">
        <v>166</v>
      </c>
      <c r="N17">
        <v>0.959233</v>
      </c>
      <c r="O17">
        <v>81.77458</v>
      </c>
    </row>
    <row r="18" spans="4:15" x14ac:dyDescent="0.25">
      <c r="D18" t="s">
        <v>169</v>
      </c>
      <c r="E18" t="s">
        <v>9</v>
      </c>
      <c r="F18">
        <v>577</v>
      </c>
      <c r="G18">
        <v>1</v>
      </c>
      <c r="H18">
        <v>0.120409</v>
      </c>
      <c r="I18" t="s">
        <v>166</v>
      </c>
      <c r="J18">
        <v>6.9319999999999998E-3</v>
      </c>
      <c r="K18">
        <v>0.86828399999999994</v>
      </c>
      <c r="L18">
        <v>12.040934</v>
      </c>
      <c r="M18" t="s">
        <v>166</v>
      </c>
      <c r="N18">
        <v>0.693241</v>
      </c>
      <c r="O18">
        <v>86.828423000000001</v>
      </c>
    </row>
    <row r="19" spans="4:15" x14ac:dyDescent="0.25">
      <c r="D19" t="s">
        <v>170</v>
      </c>
      <c r="E19" t="s">
        <v>9</v>
      </c>
      <c r="F19">
        <v>880</v>
      </c>
      <c r="G19">
        <v>1</v>
      </c>
      <c r="H19">
        <v>0.120292</v>
      </c>
      <c r="I19" t="s">
        <v>166</v>
      </c>
      <c r="J19">
        <v>2.2729999999999998E-3</v>
      </c>
      <c r="K19">
        <v>0.92613599999999996</v>
      </c>
      <c r="L19">
        <v>12.029221</v>
      </c>
      <c r="M19" t="s">
        <v>166</v>
      </c>
      <c r="N19">
        <v>0.227273</v>
      </c>
      <c r="O19">
        <v>92.613636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AEE1E-4CBB-415F-95F8-165D4B6A1E64}">
  <dimension ref="A1"/>
  <sheetViews>
    <sheetView workbookViewId="0">
      <selection activeCell="J17" sqref="J17"/>
    </sheetView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8AFFA-BDF2-4CED-A1EC-52A1037ECE4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throughtput</vt:lpstr>
      <vt:lpstr>capacity gain</vt:lpstr>
      <vt:lpstr>wavelength_utilization</vt:lpstr>
      <vt:lpstr>normalized(bpsTHz)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a37129</dc:creator>
  <cp:lastModifiedBy>Bohua Deng</cp:lastModifiedBy>
  <dcterms:created xsi:type="dcterms:W3CDTF">2026-04-06T09:12:38Z</dcterms:created>
  <dcterms:modified xsi:type="dcterms:W3CDTF">2026-04-18T07:42:35Z</dcterms:modified>
</cp:coreProperties>
</file>